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aston-martin-financing-analysis\"/>
    </mc:Choice>
  </mc:AlternateContent>
  <xr:revisionPtr revIDLastSave="0" documentId="8_{91301FD4-A083-42A9-AEB2-23BFB024A3AE}" xr6:coauthVersionLast="47" xr6:coauthVersionMax="47" xr10:uidLastSave="{00000000-0000-0000-0000-000000000000}"/>
  <bookViews>
    <workbookView xWindow="-120" yWindow="-120" windowWidth="29040" windowHeight="15720" xr2:uid="{EE0C4E56-8D81-4EAB-80A9-DEF9FD83973D}"/>
  </bookViews>
  <sheets>
    <sheet name="README" sheetId="1" r:id="rId1"/>
    <sheet name="Assumptions" sheetId="2" r:id="rId2"/>
    <sheet name="Debt" sheetId="3" r:id="rId3"/>
    <sheet name="Model" sheetId="4" r:id="rId4"/>
    <sheet name="Outputs" sheetId="5" r:id="rId5"/>
    <sheet name="YTM" sheetId="6" r:id="rId6"/>
    <sheet name="Attribution" sheetId="7" r:id="rId7"/>
    <sheet name="Refinancing" sheetId="8" r:id="rId8"/>
    <sheet name="Reconciliation" sheetId="9" r:id="rId9"/>
    <sheet name="Maturity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0" l="1"/>
  <c r="F10" i="10"/>
  <c r="E10" i="10"/>
  <c r="D10" i="10"/>
  <c r="C10" i="10"/>
  <c r="B10" i="10"/>
  <c r="B9" i="10"/>
  <c r="B8" i="10"/>
  <c r="G7" i="10"/>
  <c r="G6" i="10"/>
  <c r="E5" i="10"/>
  <c r="E4" i="10"/>
  <c r="G9" i="6"/>
  <c r="F9" i="6"/>
  <c r="D9" i="6"/>
  <c r="G8" i="6"/>
  <c r="F8" i="6"/>
  <c r="D8" i="6"/>
  <c r="G7" i="6"/>
  <c r="F7" i="6"/>
  <c r="D7" i="6"/>
  <c r="G6" i="6"/>
  <c r="F6" i="6"/>
  <c r="D6" i="6"/>
  <c r="C32" i="5"/>
  <c r="B32" i="5"/>
  <c r="C31" i="5"/>
  <c r="B31" i="5"/>
  <c r="C30" i="5"/>
  <c r="B30" i="5"/>
  <c r="B26" i="5"/>
  <c r="B25" i="5"/>
  <c r="B24" i="5"/>
  <c r="B23" i="5"/>
  <c r="B21" i="5"/>
  <c r="B20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A2" i="5"/>
  <c r="H45" i="4"/>
  <c r="G45" i="4"/>
  <c r="F45" i="4"/>
  <c r="E45" i="4"/>
  <c r="D45" i="4"/>
  <c r="C45" i="4"/>
  <c r="H40" i="4"/>
  <c r="G40" i="4"/>
  <c r="F40" i="4"/>
  <c r="E40" i="4"/>
  <c r="D40" i="4"/>
  <c r="C40" i="4"/>
  <c r="F35" i="4"/>
  <c r="C32" i="4"/>
  <c r="H43" i="4"/>
  <c r="H39" i="4"/>
  <c r="H31" i="4"/>
  <c r="G43" i="4"/>
  <c r="G39" i="4"/>
  <c r="G31" i="4"/>
  <c r="F43" i="4"/>
  <c r="F39" i="4"/>
  <c r="F31" i="4"/>
  <c r="E43" i="4"/>
  <c r="E39" i="4"/>
  <c r="E31" i="4"/>
  <c r="D43" i="4"/>
  <c r="D39" i="4"/>
  <c r="D31" i="4"/>
  <c r="C43" i="4"/>
  <c r="C39" i="4"/>
  <c r="C36" i="4"/>
  <c r="C31" i="4"/>
  <c r="H24" i="4"/>
  <c r="G24" i="4"/>
  <c r="G26" i="4" s="1"/>
  <c r="F24" i="4"/>
  <c r="E24" i="4"/>
  <c r="D24" i="4"/>
  <c r="D26" i="4" s="1"/>
  <c r="C24" i="4"/>
  <c r="C26" i="4" s="1"/>
  <c r="H26" i="4"/>
  <c r="H25" i="4"/>
  <c r="H23" i="4"/>
  <c r="H22" i="4"/>
  <c r="H21" i="4"/>
  <c r="H20" i="4"/>
  <c r="H19" i="4"/>
  <c r="G25" i="4"/>
  <c r="G23" i="4"/>
  <c r="G22" i="4"/>
  <c r="G21" i="4"/>
  <c r="G20" i="4"/>
  <c r="G19" i="4"/>
  <c r="F26" i="4"/>
  <c r="F25" i="4"/>
  <c r="F23" i="4"/>
  <c r="F22" i="4"/>
  <c r="F21" i="4"/>
  <c r="F20" i="4"/>
  <c r="F19" i="4"/>
  <c r="E26" i="4"/>
  <c r="E25" i="4"/>
  <c r="E23" i="4"/>
  <c r="E22" i="4"/>
  <c r="E21" i="4"/>
  <c r="E20" i="4"/>
  <c r="E19" i="4"/>
  <c r="D25" i="4"/>
  <c r="D23" i="4"/>
  <c r="D22" i="4"/>
  <c r="D21" i="4"/>
  <c r="D20" i="4"/>
  <c r="D19" i="4"/>
  <c r="C25" i="4"/>
  <c r="C23" i="4"/>
  <c r="C22" i="4"/>
  <c r="C21" i="4"/>
  <c r="C20" i="4"/>
  <c r="C19" i="4"/>
  <c r="B25" i="4"/>
  <c r="B23" i="4"/>
  <c r="B22" i="4"/>
  <c r="B21" i="4"/>
  <c r="B20" i="4"/>
  <c r="B19" i="4"/>
  <c r="H16" i="4"/>
  <c r="H15" i="4"/>
  <c r="H14" i="4"/>
  <c r="H13" i="4"/>
  <c r="H12" i="4"/>
  <c r="H11" i="4"/>
  <c r="H10" i="4"/>
  <c r="H9" i="4"/>
  <c r="H8" i="4"/>
  <c r="H7" i="4"/>
  <c r="H6" i="4"/>
  <c r="G16" i="4"/>
  <c r="G15" i="4"/>
  <c r="G14" i="4"/>
  <c r="G13" i="4"/>
  <c r="G12" i="4"/>
  <c r="G11" i="4"/>
  <c r="G10" i="4"/>
  <c r="G9" i="4"/>
  <c r="G8" i="4"/>
  <c r="G7" i="4"/>
  <c r="G6" i="4"/>
  <c r="F16" i="4"/>
  <c r="F15" i="4"/>
  <c r="F14" i="4"/>
  <c r="F13" i="4"/>
  <c r="F12" i="4"/>
  <c r="F11" i="4"/>
  <c r="F10" i="4"/>
  <c r="F9" i="4"/>
  <c r="F8" i="4"/>
  <c r="F7" i="4"/>
  <c r="F6" i="4"/>
  <c r="E16" i="4"/>
  <c r="E15" i="4"/>
  <c r="E14" i="4"/>
  <c r="E13" i="4"/>
  <c r="E12" i="4"/>
  <c r="E11" i="4"/>
  <c r="E10" i="4"/>
  <c r="E9" i="4"/>
  <c r="E8" i="4"/>
  <c r="E7" i="4"/>
  <c r="E6" i="4"/>
  <c r="D16" i="4"/>
  <c r="D15" i="4"/>
  <c r="D14" i="4"/>
  <c r="D13" i="4"/>
  <c r="D12" i="4"/>
  <c r="D11" i="4"/>
  <c r="D10" i="4"/>
  <c r="D9" i="4"/>
  <c r="D8" i="4"/>
  <c r="D7" i="4"/>
  <c r="D6" i="4"/>
  <c r="C16" i="4"/>
  <c r="C15" i="4"/>
  <c r="C14" i="4"/>
  <c r="C13" i="4"/>
  <c r="C12" i="4"/>
  <c r="C11" i="4"/>
  <c r="C10" i="4"/>
  <c r="C9" i="4"/>
  <c r="C8" i="4"/>
  <c r="C7" i="4"/>
  <c r="C6" i="4"/>
  <c r="B16" i="4"/>
  <c r="B15" i="4"/>
  <c r="B14" i="4"/>
  <c r="B13" i="4"/>
  <c r="B12" i="4"/>
  <c r="B11" i="4"/>
  <c r="B10" i="4"/>
  <c r="B9" i="4"/>
  <c r="B8" i="4"/>
  <c r="B7" i="4"/>
  <c r="B6" i="4"/>
  <c r="A2" i="4"/>
  <c r="B45" i="3"/>
  <c r="B42" i="3"/>
  <c r="G41" i="3"/>
  <c r="G43" i="3" s="1"/>
  <c r="G38" i="3"/>
  <c r="G37" i="3"/>
  <c r="G36" i="3"/>
  <c r="G35" i="3"/>
  <c r="G34" i="3"/>
  <c r="F41" i="3"/>
  <c r="F43" i="3" s="1"/>
  <c r="F38" i="3"/>
  <c r="F37" i="3"/>
  <c r="F36" i="3"/>
  <c r="F35" i="3"/>
  <c r="F34" i="3"/>
  <c r="E41" i="3"/>
  <c r="E43" i="3" s="1"/>
  <c r="E38" i="3"/>
  <c r="E37" i="3"/>
  <c r="E36" i="3"/>
  <c r="E35" i="3"/>
  <c r="E34" i="3"/>
  <c r="D41" i="3"/>
  <c r="D43" i="3" s="1"/>
  <c r="D38" i="3"/>
  <c r="D37" i="3"/>
  <c r="D36" i="3"/>
  <c r="D35" i="3"/>
  <c r="D34" i="3"/>
  <c r="C41" i="3"/>
  <c r="C43" i="3" s="1"/>
  <c r="C38" i="3"/>
  <c r="C37" i="3"/>
  <c r="C36" i="3"/>
  <c r="C35" i="3"/>
  <c r="C34" i="3"/>
  <c r="B41" i="3"/>
  <c r="B38" i="3"/>
  <c r="B37" i="3"/>
  <c r="B36" i="3"/>
  <c r="B35" i="3"/>
  <c r="B34" i="3"/>
  <c r="D27" i="3"/>
  <c r="D26" i="3"/>
  <c r="B26" i="3"/>
  <c r="D24" i="3"/>
  <c r="B24" i="3"/>
  <c r="D22" i="3"/>
  <c r="B22" i="3"/>
  <c r="D21" i="3"/>
  <c r="D20" i="3"/>
  <c r="C20" i="3"/>
  <c r="C18" i="3"/>
  <c r="B18" i="3"/>
  <c r="B16" i="3"/>
  <c r="D14" i="3"/>
  <c r="C14" i="3"/>
  <c r="B14" i="3"/>
  <c r="D13" i="3"/>
  <c r="D12" i="3"/>
  <c r="D11" i="3"/>
  <c r="D10" i="3"/>
  <c r="D9" i="3"/>
  <c r="D8" i="3"/>
  <c r="C8" i="3"/>
  <c r="D7" i="3"/>
  <c r="D6" i="3"/>
  <c r="D5" i="3"/>
  <c r="D4" i="3"/>
  <c r="B34" i="2"/>
  <c r="B33" i="2"/>
  <c r="H26" i="2"/>
  <c r="G26" i="2"/>
  <c r="F26" i="2"/>
  <c r="E26" i="2"/>
  <c r="D26" i="2"/>
  <c r="C26" i="2"/>
  <c r="B26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C3" i="2"/>
  <c r="D30" i="4" l="1"/>
  <c r="D36" i="4" s="1"/>
  <c r="C41" i="4"/>
  <c r="C42" i="4" s="1"/>
  <c r="C38" i="4"/>
  <c r="C44" i="4" s="1"/>
  <c r="B43" i="3"/>
  <c r="D38" i="4" l="1"/>
  <c r="D44" i="4" s="1"/>
  <c r="D41" i="4"/>
  <c r="D42" i="4" s="1"/>
  <c r="E30" i="4"/>
  <c r="E36" i="4" s="1"/>
  <c r="E41" i="4" l="1"/>
  <c r="E42" i="4" s="1"/>
  <c r="E38" i="4"/>
  <c r="E44" i="4" s="1"/>
  <c r="F30" i="4"/>
  <c r="F36" i="4" s="1"/>
  <c r="F41" i="4" l="1"/>
  <c r="F42" i="4" s="1"/>
  <c r="F38" i="4"/>
  <c r="F44" i="4" s="1"/>
  <c r="G30" i="4"/>
  <c r="G36" i="4" s="1"/>
  <c r="G38" i="4" l="1"/>
  <c r="G44" i="4" s="1"/>
  <c r="G41" i="4"/>
  <c r="G42" i="4" s="1"/>
  <c r="H30" i="4"/>
  <c r="H36" i="4" s="1"/>
  <c r="H38" i="4" l="1"/>
  <c r="H44" i="4" s="1"/>
  <c r="H41" i="4"/>
  <c r="H42" i="4" s="1"/>
</calcChain>
</file>

<file path=xl/sharedStrings.xml><?xml version="1.0" encoding="utf-8"?>
<sst xmlns="http://schemas.openxmlformats.org/spreadsheetml/2006/main" count="651" uniqueCount="503">
  <si>
    <t>ASTON MARTIN LAGONDA - LIQUIDITY AND CAPITAL STRUCTURE MODEL</t>
  </si>
  <si>
    <t>Purpose</t>
  </si>
  <si>
    <t>Credit / capital-structure analysis of the July 2026 GBP 550m private-credit financing. NOT a valuation model.</t>
  </si>
  <si>
    <t>Question</t>
  </si>
  <si>
    <t>Did the financing solve the liquidity problem, or postpone further deleveraging / an equity raise?</t>
  </si>
  <si>
    <t>PHASE</t>
  </si>
  <si>
    <t>Phase 2 (model build) complete. Phase 3 (downside scenario) NOT built - parameters await sign-off.</t>
  </si>
  <si>
    <t>SOURCING RULE</t>
  </si>
  <si>
    <t>Every hard-coded figure traces to an AML primary document. See SOURCES.md.</t>
  </si>
  <si>
    <t>Press reporting (bondholder friction / drop-down) is NOT an input to this model anywhere.</t>
  </si>
  <si>
    <t>COLOUR CODE</t>
  </si>
  <si>
    <t xml:space="preserve">  BLUE</t>
  </si>
  <si>
    <t>Sourced from an AML primary document.</t>
  </si>
  <si>
    <t xml:space="preserve">  AMBER</t>
  </si>
  <si>
    <t>PROVISIONAL judgement - awaiting sign-off. Drives the conclusion. Edit on Assumptions tab.</t>
  </si>
  <si>
    <t xml:space="preserve">  RED</t>
  </si>
  <si>
    <t>Unsourced / disclosed limitation.</t>
  </si>
  <si>
    <t xml:space="preserve">  BLACK</t>
  </si>
  <si>
    <t>Calculated - do not overwrite.</t>
  </si>
  <si>
    <t>TABS</t>
  </si>
  <si>
    <t xml:space="preserve">  Assumptions</t>
  </si>
  <si>
    <t>All inputs. The ONLY tab you should edit.</t>
  </si>
  <si>
    <t xml:space="preserve">  Debt</t>
  </si>
  <si>
    <t>Pre vs post capital structure, interest schedule, reconciliation to reported net debt.</t>
  </si>
  <si>
    <t xml:space="preserve">  Model</t>
  </si>
  <si>
    <t>P and L, free cash flow, net debt and liquidity roll-forward FY2025A to FY2031E.</t>
  </si>
  <si>
    <t xml:space="preserve">  Outputs</t>
  </si>
  <si>
    <t>Credit metrics dashboard and the headline answer.</t>
  </si>
  <si>
    <t xml:space="preserve">  Maturity</t>
  </si>
  <si>
    <t>Debt maturity profile.</t>
  </si>
  <si>
    <t>KEY FLAGS</t>
  </si>
  <si>
    <t xml:space="preserve">  A1 Txn costs</t>
  </si>
  <si>
    <t>Not disclosed by AML. Band 30/40/50; central GBP 40m reproduces the disclosed c.GBP 340m.</t>
  </si>
  <si>
    <t xml:space="preserve">  A2 DDTL</t>
  </si>
  <si>
    <t>GBP 100m delayed draw EXCLUDED from pro forma liquidity (CFO confirmed). Memo item only.</t>
  </si>
  <si>
    <t xml:space="preserve">  Covenant</t>
  </si>
  <si>
    <t>SSTL minimum-liquidity covenant tested monthly from Aug-2026 but the LEVEL is not disclosed.</t>
  </si>
  <si>
    <t xml:space="preserve">  FY27-31</t>
  </si>
  <si>
    <t>AML gives NO quantified guidance beyond FY2026. All FY2027+ drivers are provisional.</t>
  </si>
  <si>
    <t xml:space="preserve">  REFI RATE</t>
  </si>
  <si>
    <t>20.16pct is a market-implied DISTRESS yield, NOT a forecast new-issue coupon. This caveat must travel</t>
  </si>
  <si>
    <t>with the number into the memo and deck - it is not sufficient for it to sit on the YTM tab alone.</t>
  </si>
  <si>
    <t xml:space="preserve">  ATTRIBUTION</t>
  </si>
  <si>
    <t>See the Attribution tab: the leverage reversal is driven MAINLY by the margin cap, not the refi rate.</t>
  </si>
  <si>
    <t>ASSUMPTIONS - the only tab to edit</t>
  </si>
  <si>
    <t>SCENARIO SWITCH</t>
  </si>
  <si>
    <t>1 = Base. 2 = Downside (single combined stress: volumes, gross margin and SONIA together from FY2027).</t>
  </si>
  <si>
    <t>LEGEND</t>
  </si>
  <si>
    <t>BLUE = sourced from AML primary document</t>
  </si>
  <si>
    <t>AMBER = PROVISIONAL, awaiting sign-off</t>
  </si>
  <si>
    <t>RED = unsourced / limitation</t>
  </si>
  <si>
    <t>ACTIVE DRIVERS - CALCULATED, switch with B3. Edit the BASE and DOWNSIDE blocks below.</t>
  </si>
  <si>
    <t>Driver</t>
  </si>
  <si>
    <t>FY2025A</t>
  </si>
  <si>
    <t>FY2026E</t>
  </si>
  <si>
    <t>FY2027E</t>
  </si>
  <si>
    <t>FY2028E</t>
  </si>
  <si>
    <t>FY2029E</t>
  </si>
  <si>
    <t>FY2030E</t>
  </si>
  <si>
    <t>FY2031E</t>
  </si>
  <si>
    <t>Basis</t>
  </si>
  <si>
    <t>Total wholesale volumes</t>
  </si>
  <si>
    <t>CALCULATED - base row 42 / downside row 57</t>
  </si>
  <si>
    <t>Blended ASP (GBP k)</t>
  </si>
  <si>
    <t>CALCULATED - base row 43 / downside row 58</t>
  </si>
  <si>
    <t>Gross margin pct</t>
  </si>
  <si>
    <t>CALCULATED - base row 44 / downside row 59</t>
  </si>
  <si>
    <t>Adjusted opex ex D and A</t>
  </si>
  <si>
    <t>CALCULATED - base row 45 / downside row 60</t>
  </si>
  <si>
    <t>Adjusted D and A</t>
  </si>
  <si>
    <t>CALCULATED - base row 46 / downside row 61</t>
  </si>
  <si>
    <t>Capex</t>
  </si>
  <si>
    <t>CALCULATED - base row 47 / downside row 62</t>
  </si>
  <si>
    <t>Working capital movement</t>
  </si>
  <si>
    <t>CALCULATED - base row 48 / downside row 63</t>
  </si>
  <si>
    <t>Lease payments</t>
  </si>
  <si>
    <t>CALCULATED - base row 49 / downside row 64</t>
  </si>
  <si>
    <t>Cash tax</t>
  </si>
  <si>
    <t>CALCULATED - base row 50 / downside row 65</t>
  </si>
  <si>
    <t>Other cash items</t>
  </si>
  <si>
    <t>CALCULATED - base row 51 / downside row 66</t>
  </si>
  <si>
    <t>BASE CASE INPUTS - edit here</t>
  </si>
  <si>
    <t>FY25A sourced [AR25]. FY26+ PROVISIONAL - no volume guidance is given.</t>
  </si>
  <si>
    <t>FY25A = revenue/volume. FY26+ PROVISIONAL (c.500 Valhalla in FY26 is sourced).</t>
  </si>
  <si>
    <t>FY25A sourced. H1-26A 33.8pct sourced. FY26+ PROVISIONAL, set so EBITDA margin caps at c.17.1pct.</t>
  </si>
  <si>
    <t>FY25A sourced. FY26 below 300 = GUIDANCE. FY27+ PROVISIONAL, calibrated to the 17.1pct margin cap.</t>
  </si>
  <si>
    <t>FY25A sourced. FY26 375-400 = GUIDANCE (midpoint). FY27+ PROVISIONAL.</t>
  </si>
  <si>
    <t>FY25A sourced. FY26 c.300 = GUIDANCE. FY26-30 sums to c.GBP 1.7bn = GUIDANCE.</t>
  </si>
  <si>
    <t>PROVISIONAL.</t>
  </si>
  <si>
    <t>FY25A lease payments GBP 10.0m sourced. Held flat - PROVISIONAL.</t>
  </si>
  <si>
    <t>PROVISIONAL (loss-making; DTA written to nil at FY25).</t>
  </si>
  <si>
    <t>SONIA</t>
  </si>
  <si>
    <t>BoE Bank Rate 3.75pct (Jul-2026) less c.3bp. Forward curve not retrievable (403).</t>
  </si>
  <si>
    <t>DOWNSIDE CASE INPUTS - single combined stress, anchored on management's reverse stress test</t>
  </si>
  <si>
    <t>STRESSED FY27+: -23pct vs base = management's -25pct CORE stress with Specials held flat (Specials c.8.5pct of units).</t>
  </si>
  <si>
    <t>STRESSED FY27+: +5.5pct vs base. Mix effect ONLY - Specials become a larger share of a smaller book. Net revenue c.-18.8pct.</t>
  </si>
  <si>
    <t>STRESSED FY27+: 32.0pct, between the FY2025 trough (29.4pct) and H1-26 (33.8pct), both sourced.</t>
  </si>
  <si>
    <t>UNCHANGED vs base - fixed cost base. This is the operating-deleverage effect.</t>
  </si>
  <si>
    <t>UNCHANGED vs base.</t>
  </si>
  <si>
    <t>UNCHANGED vs base - management's reverse stress test EXCLUDES mitigating actions.</t>
  </si>
  <si>
    <t>UNCHANGED vs base - no additional judgement layered on.</t>
  </si>
  <si>
    <t>STRESSED FY27+: 5.25pct (+153bps). JUDGEMENT - no forward curve obtainable. Low materiality: c.GBP 4.5m per 100bps.</t>
  </si>
  <si>
    <t>THREE STRESS LEVERS ONLY (red): volumes, gross margin, SONIA - applied together from FY2027, per the brief.</t>
  </si>
  <si>
    <t>FY2025A and FY2026E are NOT stressed: FY25 is actual and FY26 is covered by company guidance.</t>
  </si>
  <si>
    <t>NO-RESPONSE CASE: capex and opex are deliberately held flat because management's disclosed reverse stress test</t>
  </si>
  <si>
    <t>excludes mitigating actions. Real-world mitigation (capex deferral, cost action) would soften this materially -</t>
  </si>
  <si>
    <t>note that qualitatively in the memo, but do NOT model it.</t>
  </si>
  <si>
    <t>RATES AND FX</t>
  </si>
  <si>
    <t>CALCULATED - base row 52 / downside row 67.</t>
  </si>
  <si>
    <t>USD per GBP</t>
  </si>
  <si>
    <t>SOURCED (derived): USD 1,050.0m / GBP 792.3m at 30-Jun-26 [H1].</t>
  </si>
  <si>
    <t>SSTL margin over SONIA</t>
  </si>
  <si>
    <t>SOURCED: SONIA + 6.75pct [H1].</t>
  </si>
  <si>
    <t>Refi rate on 2029 notes</t>
  </si>
  <si>
    <t>COMPUTED blended YTM from the 30-Jun-26 market price (79.57pct of par). CAVEAT: this is a market-implied DISTRESS yield embedding default probability, NOT a forecast new-issue coupon - never quote it without that caveat. See YTM tab.</t>
  </si>
  <si>
    <t>SWITCHES AND SINGLE INPUTS</t>
  </si>
  <si>
    <t>Transaction cost case (1=Low 2=Central 3=High)</t>
  </si>
  <si>
    <t>User-approved band 30/40/50. Central reproduces the disclosed c.GBP 340m.</t>
  </si>
  <si>
    <t>Transaction costs (GBP m)</t>
  </si>
  <si>
    <t>A1 - NOT DISCLOSED by AML. Unverified pending FY2026 Annual Report.</t>
  </si>
  <si>
    <t>DDTL drawn (0=No 1=Yes)</t>
  </si>
  <si>
    <t>CALCULATED - undrawn in base, DRAWN in downside (a company under liquidity stress draws committed capacity). A2: excluded from the disclosed c.GBP 340m (CFO confirmed).</t>
  </si>
  <si>
    <t>Refinance 2029 notes at maturity (0/1)</t>
  </si>
  <si>
    <t>Set to 0 to expose the raw 2029 funding wall.</t>
  </si>
  <si>
    <t>Minimum liquidity covenant (GBP m)</t>
  </si>
  <si>
    <t>QUANTUM NOT DISCLOSED. Covenant exists, tested monthly from Aug-26 [H1].</t>
  </si>
  <si>
    <t>Inventory financing assumed rolled (0/1)</t>
  </si>
  <si>
    <t>GBP 39.1m repayable Oct-26 (GBP 40.0m gross) [H1]. Assumed rolled.</t>
  </si>
  <si>
    <t>CAPITAL STRUCTURE - PRE vs POST TRANSACTION (GBP m, nominal principal)</t>
  </si>
  <si>
    <t>Instrument</t>
  </si>
  <si>
    <t>Pre 30-Jun-26</t>
  </si>
  <si>
    <t>Transaction</t>
  </si>
  <si>
    <t>Post pro forma</t>
  </si>
  <si>
    <t>Coupon</t>
  </si>
  <si>
    <t>Maturity</t>
  </si>
  <si>
    <t>Source</t>
  </si>
  <si>
    <t>USD SSN (USD 1,050.0m at 10.0pct)</t>
  </si>
  <si>
    <t>10.0pct</t>
  </si>
  <si>
    <t>[H1] fair value note</t>
  </si>
  <si>
    <t>GBP SSN (GBP 465.0m at 10.375pct)</t>
  </si>
  <si>
    <t>10.375pct</t>
  </si>
  <si>
    <t>GBP SSN (GBP 100.0m at 10.375pct)</t>
  </si>
  <si>
    <t>SSTL (GBP 450m)</t>
  </si>
  <si>
    <t>SONIA+6.75</t>
  </si>
  <si>
    <t>[H1] going concern</t>
  </si>
  <si>
    <t>DDTL (GBP 100m delayed draw)</t>
  </si>
  <si>
    <t>[H1] memo, excl. liquidity</t>
  </si>
  <si>
    <t>Super senior RCF (drawn)</t>
  </si>
  <si>
    <t>SONIA-based</t>
  </si>
  <si>
    <t>cancelled</t>
  </si>
  <si>
    <t>[H1] GBP 163.0m drawn</t>
  </si>
  <si>
    <t>YTC committed facility (drawn)</t>
  </si>
  <si>
    <t>n/d</t>
  </si>
  <si>
    <t>[H1] GBP 20m of GBP 50m</t>
  </si>
  <si>
    <t>Other bank loans and overdrafts</t>
  </si>
  <si>
    <t>various</t>
  </si>
  <si>
    <t>[H1] balance to GBP 168.8m</t>
  </si>
  <si>
    <t>Inventory financing</t>
  </si>
  <si>
    <t>[H1]</t>
  </si>
  <si>
    <t>Lease liabilities (IFRS 16)</t>
  </si>
  <si>
    <t>n/a</t>
  </si>
  <si>
    <t>Gross debt (nominal)</t>
  </si>
  <si>
    <t>Unamortised transaction fees</t>
  </si>
  <si>
    <t>[H1] notes 12.1 + RCF 0.7 + YTC 1.7</t>
  </si>
  <si>
    <t>Gross debt (book)</t>
  </si>
  <si>
    <t>CHECK - reported gross debt [H1]</t>
  </si>
  <si>
    <t>Difference</t>
  </si>
  <si>
    <t>Cash</t>
  </si>
  <si>
    <t>Cash not available for short-term use</t>
  </si>
  <si>
    <t>Net debt (nominal basis)</t>
  </si>
  <si>
    <t>Available facilities</t>
  </si>
  <si>
    <t>RCF and YTC both cancelled [H1]</t>
  </si>
  <si>
    <t>TOTAL LIQUIDITY</t>
  </si>
  <si>
    <t>CHECK vs disclosed</t>
  </si>
  <si>
    <t>MEMO - undrawn DDTL capacity (NOT in liquidity)</t>
  </si>
  <si>
    <t>NOTE: the 'CHECK vs disclosed' above is calibrated to the BASE case (DDTL undrawn), which is how AML disclosed it.</t>
  </si>
  <si>
    <t>In the DOWNSIDE the DDTL is drawn, so post-transaction cash is c.GBP 100m higher by construction - the check will not tie there.</t>
  </si>
  <si>
    <t>CASH INTEREST SCHEDULE (GBP m)</t>
  </si>
  <si>
    <t>Line</t>
  </si>
  <si>
    <t>2029 notes outstanding - year fraction</t>
  </si>
  <si>
    <t>Mature Mar-2029 [H1], so 3/12 of FY2029</t>
  </si>
  <si>
    <t>SSTL - year fraction</t>
  </si>
  <si>
    <t>Drawn 22-Jul-2026, so c.5.3 months of FY2026</t>
  </si>
  <si>
    <t>USD SSN interest</t>
  </si>
  <si>
    <t>GBP SSN interest</t>
  </si>
  <si>
    <t>SSTL interest</t>
  </si>
  <si>
    <t>DDTL interest</t>
  </si>
  <si>
    <t>Refinancing debt interest (post Mar-29)</t>
  </si>
  <si>
    <t>Other interest (RCF/YTC/inventory/leases)</t>
  </si>
  <si>
    <t>Interest received</t>
  </si>
  <si>
    <t>Subtotal - accrual basis</t>
  </si>
  <si>
    <t>FY2026 calibration to guided cash interest</t>
  </si>
  <si>
    <t>NET CASH INTEREST</t>
  </si>
  <si>
    <t>FY26 includes part-year RCF/YTC. PROVISIONAL.</t>
  </si>
  <si>
    <t>At 20.16pct = market-implied DISTRESS yield, NOT a forecast new-issue coupon. Never quote without this caveat. See YTM tab.</t>
  </si>
  <si>
    <t>FY2026 ONLY - calibrates to company guidance. NOT a silent override.</t>
  </si>
  <si>
    <t>GUIDANCE - FY2026 net cash interest c.GBP 160m [H1]</t>
  </si>
  <si>
    <t>Model vs guidance (should be nil after calibration)</t>
  </si>
  <si>
    <t>ACCRUAL vs CASH: rows 34-41 accrue a full year of coupons. FY2026 is calibrated down to the guided c.GBP 160m cash figure,</t>
  </si>
  <si>
    <t>because guidance reflects actual payment dates. FY2027+ has no company guidance to calibrate against, so the accrual</t>
  </si>
  <si>
    <t>methodology is retained there. The FY2026 adjustment is shown explicitly on row 42 rather than buried in an input.</t>
  </si>
  <si>
    <t>OPERATING MODEL, FREE CASH FLOW AND LIQUIDITY ROLL-FORWARD (GBP m)</t>
  </si>
  <si>
    <t>OPERATING</t>
  </si>
  <si>
    <t>Revenue</t>
  </si>
  <si>
    <t>Gross profit</t>
  </si>
  <si>
    <t>Adjusted opex (ex D and A)</t>
  </si>
  <si>
    <t>Adjusted EBITDA</t>
  </si>
  <si>
    <t>Adjusted EBITDA margin</t>
  </si>
  <si>
    <t>Adjusted EBIT</t>
  </si>
  <si>
    <t>Adjusted EBIT margin</t>
  </si>
  <si>
    <t>FREE CASH FLOW</t>
  </si>
  <si>
    <t>Net cash interest paid</t>
  </si>
  <si>
    <t>FY2025A free cash outflow is the reported figure [AR25], not a build. FY25 cash interest is PROVISIONAL.</t>
  </si>
  <si>
    <t>NET DEBT AND LIQUIDITY</t>
  </si>
  <si>
    <t>Opening cash</t>
  </si>
  <si>
    <t>Free cash flow</t>
  </si>
  <si>
    <t>Net transaction proceeds</t>
  </si>
  <si>
    <t>Other financing / debt movements</t>
  </si>
  <si>
    <t>2029 notes repayment</t>
  </si>
  <si>
    <t>2029 refinancing proceeds</t>
  </si>
  <si>
    <t>Closing cash (before further funding)</t>
  </si>
  <si>
    <t>TOTAL LIQUIDITY (before further funding)</t>
  </si>
  <si>
    <t>Memo: undrawn DDTL (not in liquidity)</t>
  </si>
  <si>
    <t>Net debt</t>
  </si>
  <si>
    <t>Net debt / adjusted EBITDA</t>
  </si>
  <si>
    <t>Adjusted EBITDA / net cash interest</t>
  </si>
  <si>
    <t>Liquidity headroom vs covenant</t>
  </si>
  <si>
    <t>FUNDING GAP (further funding required)</t>
  </si>
  <si>
    <t>FY2026 opening cash = 31-Dec-25 actual GBP 249.9m [H1]. Transaction modelled in FY2026.</t>
  </si>
  <si>
    <t>Rows 36/38 are shown BEFORE any further funding. A negative figure quantifies the funding need - it is not a forecast of negative cash.</t>
  </si>
  <si>
    <t>FY2026 modelled cash interest is c.GBP 12m above the guided c.GBP 160m: the model accrues a full year of note coupons, guidance reflects actual cash payment dates.</t>
  </si>
  <si>
    <t>CREDIT METRICS DASHBOARD</t>
  </si>
  <si>
    <t>PROVISIONAL - FY2027-31 drivers are unsourced judgement awaiting sign-off.</t>
  </si>
  <si>
    <t>CAVEAT TRAVELS WITH THE NUMBER: the 20.16pct refi rate is a market-implied DISTRESS yield (embeds default probability), NOT a forecast new-issue coupon. Carry this into the memo and deck.</t>
  </si>
  <si>
    <t>Net cash interest</t>
  </si>
  <si>
    <t>Net debt / adj EBITDA</t>
  </si>
  <si>
    <t>Adj EBITDA / cash interest</t>
  </si>
  <si>
    <t>Total liquidity</t>
  </si>
  <si>
    <t>Memo: undrawn DDTL</t>
  </si>
  <si>
    <t>HEADLINE ANSWER</t>
  </si>
  <si>
    <t>First year liquidity falls below the covenant threshold</t>
  </si>
  <si>
    <t>First year liquidity falls below zero</t>
  </si>
  <si>
    <t>2029 refinancing requirement (GBP m)</t>
  </si>
  <si>
    <t>FY2027 cash interest step-up vs FY2026 (increase in cost)</t>
  </si>
  <si>
    <t>Cumulative FCF FY2027-FY2031</t>
  </si>
  <si>
    <t>Peak funding gap by FY2031 (GBP m)</t>
  </si>
  <si>
    <t>Pro forma liquidity at 30-Jun-26 (disclosed)</t>
  </si>
  <si>
    <t>Liquidity runway from 22-Jul-2026 (see Refinancing tab)</t>
  </si>
  <si>
    <t>BASE c.19 months (crosses zero c.Feb-2028)  |  DOWNSIDE c.16 months (crosses zero c.Nov-2027)</t>
  </si>
  <si>
    <t>COVENANT THRESHOLD SENSITIVITY - the breach date is a function of an UNSOURCED input</t>
  </si>
  <si>
    <t>Minimum liquidity threshold (GBP m)</t>
  </si>
  <si>
    <t>First breach year</t>
  </si>
  <si>
    <t>Headroom at FY2027 (GBP m)</t>
  </si>
  <si>
    <t>The SSTL minimum-liquidity covenant is disclosed [H1] but its LEVEL is not. The model uses Assumptions!B36.</t>
  </si>
  <si>
    <t>Across the plausible 75-125 range the breach year is unchanged, so the conclusion does not hinge on this input.</t>
  </si>
  <si>
    <t>This block reflects the ACTIVE scenario (Assumptions!B3).</t>
  </si>
  <si>
    <t>SCENARIO COMPARISON - static snapshot taken 2026-08-07, refresh if drivers change</t>
  </si>
  <si>
    <t>Metric</t>
  </si>
  <si>
    <t>BASE</t>
  </si>
  <si>
    <t>DOWNSIDE</t>
  </si>
  <si>
    <t>Delta</t>
  </si>
  <si>
    <t>FY2027 revenue (GBP m)</t>
  </si>
  <si>
    <t>-313.6  (-18.8pct)</t>
  </si>
  <si>
    <t>FY2027 adjusted EBITDA (GBP m)</t>
  </si>
  <si>
    <t>-158.8  (-55pct)</t>
  </si>
  <si>
    <t>FY2027 EBITDA margin</t>
  </si>
  <si>
    <t>17.3pct</t>
  </si>
  <si>
    <t>9.5pct</t>
  </si>
  <si>
    <t>-780bps</t>
  </si>
  <si>
    <t>FY2027 free cash flow (GBP m)</t>
  </si>
  <si>
    <t>Covenant breach</t>
  </si>
  <si>
    <t>FY2027</t>
  </si>
  <si>
    <t>same</t>
  </si>
  <si>
    <t>Liquidity exhausted (below zero)</t>
  </si>
  <si>
    <t>FY2028</t>
  </si>
  <si>
    <t>one year earlier</t>
  </si>
  <si>
    <t>Peak funding gap (GBP m)</t>
  </si>
  <si>
    <t>FY2031 net debt / EBITDA</t>
  </si>
  <si>
    <t>10.2x</t>
  </si>
  <si>
    <t>29.9x</t>
  </si>
  <si>
    <t>+19.7x</t>
  </si>
  <si>
    <t>FY2029 EBITDA / cash interest</t>
  </si>
  <si>
    <t>1.0x</t>
  </si>
  <si>
    <t>0.4x</t>
  </si>
  <si>
    <t>-0.6x</t>
  </si>
  <si>
    <t>DDTL</t>
  </si>
  <si>
    <t>undrawn</t>
  </si>
  <si>
    <t>drawn</t>
  </si>
  <si>
    <t>+GBP 100m debt and liquidity</t>
  </si>
  <si>
    <t>Downside = single combined stress (volumes -23pct, gross margin 32.0pct, SONIA 5.25pct) applied together from FY2027,</t>
  </si>
  <si>
    <t>with capex and opex deliberately held flat - a NO-RESPONSE case matching management's own reverse stress test.</t>
  </si>
  <si>
    <t>Even in the base case the capital structure does not work. The downside brings the wall forward by a year and doubles the gap.</t>
  </si>
  <si>
    <t>IMPLIED YIELD TO MATURITY ON THE 2029 NOTES - basis for the refinancing rate</t>
  </si>
  <si>
    <t>Settlement 30-Jun-2026. Maturity 31-Mar-2029 (2.75 years). Semi-annual coupons, 6 payments remaining.</t>
  </si>
  <si>
    <t>Prices are the disclosed fair values at 30-Jun-2026 [H1 fair value note] - see SOURCES.md section 3.</t>
  </si>
  <si>
    <t>Tranche</t>
  </si>
  <si>
    <t>Nominal</t>
  </si>
  <si>
    <t>Fair value</t>
  </si>
  <si>
    <t>Clean price pct</t>
  </si>
  <si>
    <t>Coupon pct</t>
  </si>
  <si>
    <t>Accrued pct</t>
  </si>
  <si>
    <t>Dirty price pct</t>
  </si>
  <si>
    <t>Implied YTM pct</t>
  </si>
  <si>
    <t>USD SSN 10.000pct</t>
  </si>
  <si>
    <t>GBP SSN 10.375pct (465m)</t>
  </si>
  <si>
    <t>GBP SSN 10.375pct (100m)</t>
  </si>
  <si>
    <t>BLENDED</t>
  </si>
  <si>
    <t>Method</t>
  </si>
  <si>
    <t>Dirty price = clean price + accrued interest (3 months since the 31-Mar coupon).</t>
  </si>
  <si>
    <t>Solve for y such that: sum over t of (coupon/2)/(1+y/2)^(2t) + 100/(1+y/2)^(2*2.75) = dirty price,</t>
  </si>
  <si>
    <t>with t = 0.25, 0.75, 1.25, 1.75, 2.25, 2.75 years. Solved by bisection to 1e-6.</t>
  </si>
  <si>
    <t>Blended coupon = (792.3 x 10.000 + 565.0 x 10.375) / 1357.3 = 10.156 pct.</t>
  </si>
  <si>
    <t>RESULT: blended implied YTM = 20.16 pct. This is the refinancing rate used on the Assumptions tab.</t>
  </si>
  <si>
    <t>INTERPRETIVE CAVEAT - read before quoting this number:</t>
  </si>
  <si>
    <t>20.16 pct is a DISTRESS yield. It embeds the market's probability of default, not a clean forecast of a new-issue coupon.</t>
  </si>
  <si>
    <t>Using it as the 2029 refinancing rate is deliberately conservative: it prices the refinancing at what the market thinks</t>
  </si>
  <si>
    <t>this risk costs TODAY. If AML reaches 2029 in a position to refinance at all, the credit would likely have improved and</t>
  </si>
  <si>
    <t>the true coupon would be lower. The honest reading is not 'AML will pay 20 pct' but 'the market does not currently believe</t>
  </si>
  <si>
    <t>these notes can be refinanced on economic terms' - which is itself the finding.</t>
  </si>
  <si>
    <t>WHAT DRIVES THE LEVERAGE AND COVERAGE REVERSAL - stepwise attribution</t>
  </si>
  <si>
    <t>Cumulative walk from the pre-review base case to the current one. Each step adds one change.</t>
  </si>
  <si>
    <t>Produced by re-running this workbook with each input reverted; S4 reconciles exactly to the live model.</t>
  </si>
  <si>
    <t>Step</t>
  </si>
  <si>
    <t>FY29 interest</t>
  </si>
  <si>
    <t>FY31 interest</t>
  </si>
  <si>
    <t>FY29 leverage</t>
  </si>
  <si>
    <t>FY31 leverage</t>
  </si>
  <si>
    <t>FY29 coverage</t>
  </si>
  <si>
    <t>FY31 coverage</t>
  </si>
  <si>
    <t>Peak funding gap</t>
  </si>
  <si>
    <t>S0  Pre-review base case</t>
  </si>
  <si>
    <t>S1  + margin cap to 17.1pct</t>
  </si>
  <si>
    <t>S2  + SONIA 4.00 to 3.72pct</t>
  </si>
  <si>
    <t>S3  + FY2026 interest calibration</t>
  </si>
  <si>
    <t>S4 + refi 11.0 to 20.16pct (CURRENT)</t>
  </si>
  <si>
    <t>CONTRIBUTION TO THE TOTAL SWING</t>
  </si>
  <si>
    <t>Total swing</t>
  </si>
  <si>
    <t>Margin cap</t>
  </si>
  <si>
    <t>FY26 calib.</t>
  </si>
  <si>
    <t>Refi rate</t>
  </si>
  <si>
    <t>FY2031 leverage</t>
  </si>
  <si>
    <t>+4.62x</t>
  </si>
  <si>
    <t>+3.61x  (78pct)</t>
  </si>
  <si>
    <t>-0.02x  (0pct)</t>
  </si>
  <si>
    <t>-0.03x  (-1pct)</t>
  </si>
  <si>
    <t>+1.06x  (23pct)</t>
  </si>
  <si>
    <t>FY2029 coverage</t>
  </si>
  <si>
    <t>-0.94x</t>
  </si>
  <si>
    <t>-0.47x  (50pct)</t>
  </si>
  <si>
    <t>+0.01x  (-1pct)</t>
  </si>
  <si>
    <t>0.00x   (0pct)</t>
  </si>
  <si>
    <t>-0.48x  (51pct)</t>
  </si>
  <si>
    <t>FY2031 coverage</t>
  </si>
  <si>
    <t>-1.23x</t>
  </si>
  <si>
    <t>-0.64x  (52pct)</t>
  </si>
  <si>
    <t>-0.60x  (49pct)</t>
  </si>
  <si>
    <t>+435.3  (57pct)</t>
  </si>
  <si>
    <t>-6.9   (-1pct)</t>
  </si>
  <si>
    <t>-11.5   (-2pct)</t>
  </si>
  <si>
    <t>+341.9  (45pct)</t>
  </si>
  <si>
    <t>CONCLUSION</t>
  </si>
  <si>
    <t>The leverage reversal is driven MAINLY by the margin cap (78pct of the FY2031 swing), not the refi rate (23pct).</t>
  </si>
  <si>
    <t>The coverage collapse is roughly an even split between the two (c.50/50).</t>
  </si>
  <si>
    <t>SONIA and the FY2026 calibration are immaterial (under 2pct each) and both slightly REDUCE stress.</t>
  </si>
  <si>
    <t>This is NOT a compounding of unexamined provisional assumptions. Two deliberate corrections did the work, and both</t>
  </si>
  <si>
    <t>replaced a weaker input with a better-grounded one: the margin cap is anchored to AML's own FY2024 high (sourced),</t>
  </si>
  <si>
    <t>and the refi rate is computed from the disclosed market price (sourced) rather than guessed.</t>
  </si>
  <si>
    <t>ROBUSTNESS: step S1 shows that with the margin cap alone - refi still at 11pct - leverage already rises to 9.17x and</t>
  </si>
  <si>
    <t>the funding gap reaches GBP 995m. The conclusion does NOT depend on the distress yield.</t>
  </si>
  <si>
    <t>2029 REFINANCING FEASIBILITY AND THE SELF-SUSTAINING TEST</t>
  </si>
  <si>
    <t>Answers two of the brief's core questions: can AML refinance the 2029 notes, and when does it become self-sustaining?</t>
  </si>
  <si>
    <t>All figures BASE CASE. GBP 1,357.3m of senior secured notes mature March 2029.</t>
  </si>
  <si>
    <t>A. WHAT WOULD REFINANCING COST? (FY2030, first full year post-refinancing)</t>
  </si>
  <si>
    <t>Refinancing rate</t>
  </si>
  <si>
    <t>FY30 cash interest</t>
  </si>
  <si>
    <t>FY30 coverage</t>
  </si>
  <si>
    <t>FY30 free cash flow</t>
  </si>
  <si>
    <t>Comment</t>
  </si>
  <si>
    <t>0.00pct (hypothetical)</t>
  </si>
  <si>
    <t>Even at ZERO cost of debt, free cash flow stays negative</t>
  </si>
  <si>
    <t>7.50pct</t>
  </si>
  <si>
    <t>Coverage reaches 2.0x only here - well inside investment-grade pricing</t>
  </si>
  <si>
    <t>10.375pct (existing coupon)</t>
  </si>
  <si>
    <t>Refinancing at the CURRENT coupon still leaves 1.6x and negative FCF</t>
  </si>
  <si>
    <t>12.50pct</t>
  </si>
  <si>
    <t>15.00pct</t>
  </si>
  <si>
    <t>20.16pct (market-implied)</t>
  </si>
  <si>
    <t>DISTRESS yield, not a forecast coupon - see YTM tab. Coverage below 1.0x</t>
  </si>
  <si>
    <t>THE DECISIVE RESULT</t>
  </si>
  <si>
    <t>At a 0pct refinancing cost - an impossible best case - FY2030 free cash flow is still MINUS GBP 115m.</t>
  </si>
  <si>
    <t>Refinancing terms are therefore not the binding constraint. No achievable coupon makes this capital structure work.</t>
  </si>
  <si>
    <t>Refinancing feasibility is a question about the BUSINESS, not about credit markets.</t>
  </si>
  <si>
    <t>B. SELF-SUSTAINING TEST - can the business fund its own capex, before any interest?</t>
  </si>
  <si>
    <t>Base case (GBP m)</t>
  </si>
  <si>
    <t>EBITDA less capex</t>
  </si>
  <si>
    <t>Cash interest</t>
  </si>
  <si>
    <t>EBITDA does not cover CAPEX ALONE until FY2031 - and then by only GBP 20m, before a penny of interest.</t>
  </si>
  <si>
    <t>On these drivers Aston Martin does NOT become self-sustaining within the forecast horizon.</t>
  </si>
  <si>
    <t>C. WHAT WOULD HAVE TO BE TRUE for FY2031 free cash flow to reach zero?</t>
  </si>
  <si>
    <t>Required EBITDA</t>
  </si>
  <si>
    <t>GBP 651.7m</t>
  </si>
  <si>
    <t>vs GBP 320.1m modelled - more than DOUBLE</t>
  </si>
  <si>
    <t>Implied revenue (at 35.5pct GM, opex GBP 350m)</t>
  </si>
  <si>
    <t>GBP 2,823m</t>
  </si>
  <si>
    <t>vs GBP 1,888m modelled - c.+50pct</t>
  </si>
  <si>
    <t>Implied wholesale volumes (at ASP GBP 286k)</t>
  </si>
  <si>
    <t>c.9,870 units</t>
  </si>
  <si>
    <t>vs 6,600 modelled, and vs 5,448 actual in FY2025</t>
  </si>
  <si>
    <t>Alternative: refinance at existing 10.375pct</t>
  </si>
  <si>
    <t>still needs EBITDA of c.GBP 519m</t>
  </si>
  <si>
    <t>c.+62pct vs modelled</t>
  </si>
  <si>
    <t>For context, FY2025 actual wholesale volumes were 5,448 and peak historic adjusted EBITDA was GBP 271m (FY2024).</t>
  </si>
  <si>
    <t>D. LIQUIDITY RUNWAY from the 22-Jul-2026 financing</t>
  </si>
  <si>
    <t>Scenario</t>
  </si>
  <si>
    <t>Crosses zero</t>
  </si>
  <si>
    <t>Runway</t>
  </si>
  <si>
    <t>c. Feb-2028</t>
  </si>
  <si>
    <t>c. 19 months</t>
  </si>
  <si>
    <t>FY2028 opening liquidity GBP 29.7m against FY2028 free cash outflow of GBP 266.5m (11.1pct through the year)</t>
  </si>
  <si>
    <t>c. Nov-2027</t>
  </si>
  <si>
    <t>c. 16 months</t>
  </si>
  <si>
    <t>FY2027 opening liquidity GBP 407.3m (incl. drawn DDTL) against FY2027 free cash outflow of GBP 455.4m (89.4pct through)</t>
  </si>
  <si>
    <t>Straight-line interpolation within the year - the model is annual, so treat these as indicative quarters, not dates.</t>
  </si>
  <si>
    <t>E. ANSWERS TO THE BRIEF'S QUESTIONS</t>
  </si>
  <si>
    <t>Can AML afford the additional interest?</t>
  </si>
  <si>
    <t>No. FY2027 cash interest of GBP 191m against EBITDA of GBP 288m leaves 1.5x coverage, and free cash flow stays negative throughout.</t>
  </si>
  <si>
    <t>Can it refinance the 2029 notes?</t>
  </si>
  <si>
    <t>Not on terms that help. Even at a 0pct coupon FY2030 free cash flow is minus GBP 115m. The constraint is the business, not the market.</t>
  </si>
  <si>
    <t>Is further funding required before 2031?</t>
  </si>
  <si>
    <t>Yes. Base case peak funding gap GBP 1,319m; downside GBP 2,163m. Required from FY2028 (base) or FY2027 (downside).</t>
  </si>
  <si>
    <t>When does it become self-sustaining?</t>
  </si>
  <si>
    <t>Not within the horizon. EBITDA does not cover capex alone until FY2031, and never covers capex plus interest.</t>
  </si>
  <si>
    <t>Is further restructuring or a capital raise likely?</t>
  </si>
  <si>
    <t>Yes - on these drivers it is close to unavoidable well before the March 2029 maturity.</t>
  </si>
  <si>
    <t>WHY THE MODEL EXHAUSTS LIQUIDITY AT A MILDER SHOCK THAN MANAGEMENT'S REVERSE STRESS TEST</t>
  </si>
  <si>
    <t>THE CHALLENGE: our downside uses -23pct total volumes (management's -25pct CORE) yet fully exhausts liquidity.</t>
  </si>
  <si>
    <t>Management's disclosure implies -55pct core is needed to exhaust liquidity - roughly double our stress. Why?</t>
  </si>
  <si>
    <t>TEST 1 - LEVER WALK: which stress lever actually causes exhaustion?</t>
  </si>
  <si>
    <t>Variant (all vs FY2027 year-end liquidity)</t>
  </si>
  <si>
    <t>FY27 EBITDA</t>
  </si>
  <si>
    <t>FY27 liquidity</t>
  </si>
  <si>
    <t>Change</t>
  </si>
  <si>
    <t>Liquidity exhausted</t>
  </si>
  <si>
    <t>BASE (no stress)</t>
  </si>
  <si>
    <t>-</t>
  </si>
  <si>
    <t>V1  core volumes -25pct ONLY</t>
  </si>
  <si>
    <t>V2  + gross margin 32pct</t>
  </si>
  <si>
    <t>V3  + SONIA 5.25pct</t>
  </si>
  <si>
    <t>V4  + DDTL drawn (= DOWNSIDE)</t>
  </si>
  <si>
    <t>FINDING: the margin assumption is NOT the cause. A volume-only -25pct stress already exhausts liquidity</t>
  </si>
  <si>
    <t>in FY2027 (-GBP 81.8m). The margin cut adds a further -GBP 47.5m but is not required for exhaustion.</t>
  </si>
  <si>
    <t>SONIA is trivial (-GBP 6.9m). Drawing the DDTL ADDS GBP 88.0m net of its own interest.</t>
  </si>
  <si>
    <t>TEST 2 - VOLUME-ONLY LADDER: what shock does our model actually need?</t>
  </si>
  <si>
    <t>Core volume cut (margin and SONIA at base, DDTL undrawn)</t>
  </si>
  <si>
    <t>FY27 revenue</t>
  </si>
  <si>
    <t>0pct (base)</t>
  </si>
  <si>
    <t>-5pct</t>
  </si>
  <si>
    <t>-6.6pct</t>
  </si>
  <si>
    <t>FY2028  &lt;- BREAKEVEN</t>
  </si>
  <si>
    <t>-10pct</t>
  </si>
  <si>
    <t>-25pct (mgmt covenant marker)</t>
  </si>
  <si>
    <t>-40pct</t>
  </si>
  <si>
    <t>-55pct (mgmt liquidity marker)</t>
  </si>
  <si>
    <t>FINDING: our model tips into FY2027 exhaustion at only -6.6pct core volumes - versus management's -55pct.</t>
  </si>
  <si>
    <t>The gap is therefore NOT in the stress levers. It is in the BASE CASE we are stressing from.</t>
  </si>
  <si>
    <t>WHY: the base case is already on the cliff edge</t>
  </si>
  <si>
    <t>Base FY2027 committed outflow vs earnings (GBP m)</t>
  </si>
  <si>
    <t>Working capital, leases, tax</t>
  </si>
  <si>
    <t>Interest (GBP 191m) plus capex (GBP 350m) = GBP 541m of largely committed outflow against GBP 288m of EBITDA.</t>
  </si>
  <si>
    <t>Base FY2027 year-end liquidity is only GBP 29.7m. Any material stress tips it negative - hence -6.6pct.</t>
  </si>
  <si>
    <t>TEST 3 - is this an artefact of OUR capex phasing? No.</t>
  </si>
  <si>
    <t>Capex phasing FY2026-30 (total held at c.GBP 1.7bn, which IS sourced guidance)</t>
  </si>
  <si>
    <t>FY28 liquidity</t>
  </si>
  <si>
    <t>A  300/350/350/350/350 (current)</t>
  </si>
  <si>
    <t>B  300/300/350/375/375</t>
  </si>
  <si>
    <t>C  300/250/350/400/400</t>
  </si>
  <si>
    <t>Phasing moves FY2027 liquidity by up to GBP 100m but does NOT change the exhaustion year. The programme TOTAL</t>
  </si>
  <si>
    <t>is sourced guidance, so re-phasing only shifts the burn between years - it cannot avoid it.</t>
  </si>
  <si>
    <t>THE FOUR REASONS THE TWO NUMBERS ARE NOT LIKE-FOR-LIKE</t>
  </si>
  <si>
    <t>1. Different starting forecast</t>
  </si>
  <si>
    <t>Management stresses THEIR forecast; we stress OUR reconstruction. Ours already burns GBP 278m in FY2027 and ends with GBP 29.7m. Theirs must be materially stronger - the -6.6pct vs -55pct gap MEASURES that divergence.</t>
  </si>
  <si>
    <t>2. Different horizon</t>
  </si>
  <si>
    <t>Management's window ends 30-Sep-2027. Our FY2027 ends 31-Dec-2027 - roughly one extra quarter of burn (c.GBP 70-90m at our run-rate).</t>
  </si>
  <si>
    <t>3. Different metric</t>
  </si>
  <si>
    <t>Management tests volumes ONLY, holding per-unit economics flat. Our downside also cuts margin and raises SONIA - though Test 1 shows volumes alone are already sufficient.</t>
  </si>
  <si>
    <t>4. Mitigating actions</t>
  </si>
  <si>
    <t>Both exclude them, so this is neutral - but management states it would act, and in practice would cut capex first.</t>
  </si>
  <si>
    <t>HOW TO DEFEND THIS IN INTERVIEW</t>
  </si>
  <si>
    <t>Do NOT claim the model contradicts management. It does not - it stresses a different, more conservative base.</t>
  </si>
  <si>
    <t>The defensible statement: 'On a base case capped at AML's own historic best margin and carrying its own guided</t>
  </si>
  <si>
    <t>capex programme, the capital structure is already cash-negative before any stress. That is the finding. The</t>
  </si>
  <si>
    <t>downside then simply confirms there is no room for error.'</t>
  </si>
  <si>
    <t>HONEST CAVEAT: this makes the headline conclusion sensitive to the BASE case, not just the downside.</t>
  </si>
  <si>
    <t>Management's own forecast is NOT disclosed, so the divergence cannot be reconciled directly - only bounded.</t>
  </si>
  <si>
    <t>DEBT MATURITY PROFILE (GBP m, nominal) - POST-TRANSACTION</t>
  </si>
  <si>
    <t>USD SSN (Mar-29)</t>
  </si>
  <si>
    <t>GBP SSN (Mar-29)</t>
  </si>
  <si>
    <t>SSTL (Jul-31)</t>
  </si>
  <si>
    <t>DDTL (Jul-31)</t>
  </si>
  <si>
    <t>Other bank loans</t>
  </si>
  <si>
    <t>TOTAL</t>
  </si>
  <si>
    <t>Lease liabilities (GBP 89.7m) amortise across the period and are excluded above.</t>
  </si>
  <si>
    <t>The Mar-2029 wall is GBP 1,357.3m nominal - c.4x the pro forma liquidity of c.GBP 340m.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</si>
</sst>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"/>
    <numFmt numFmtId="165" formatCode="#,##0.0;\(#,##0.0\)"/>
    <numFmt numFmtId="166" formatCode="0.0%"/>
    <numFmt numFmtId="167" formatCode="0.0000"/>
    <numFmt numFmtId="168" formatCode="0.00&quot;x&quot;"/>
    <numFmt numFmtId="169" formatCode="0.000"/>
  </numFmts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rgb="FFFFC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" fontId="0" fillId="0" borderId="0" xfId="0" applyNumberFormat="1"/>
    <xf numFmtId="1" fontId="8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1" fillId="0" borderId="0" xfId="0" applyFont="1"/>
    <xf numFmtId="0" fontId="1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0" fillId="0" borderId="0" xfId="0" applyNumberFormat="1" applyFont="1"/>
    <xf numFmtId="164" fontId="8" fillId="0" borderId="0" xfId="0" applyNumberFormat="1" applyFont="1"/>
    <xf numFmtId="165" fontId="10" fillId="0" borderId="0" xfId="0" applyNumberFormat="1" applyFont="1"/>
    <xf numFmtId="165" fontId="8" fillId="0" borderId="0" xfId="0" applyNumberFormat="1" applyFont="1"/>
    <xf numFmtId="166" fontId="10" fillId="0" borderId="0" xfId="0" applyNumberFormat="1" applyFont="1"/>
    <xf numFmtId="166" fontId="8" fillId="0" borderId="0" xfId="0" applyNumberFormat="1" applyFont="1"/>
    <xf numFmtId="10" fontId="0" fillId="0" borderId="0" xfId="0" applyNumberFormat="1"/>
    <xf numFmtId="10" fontId="10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67" fontId="10" fillId="0" borderId="0" xfId="0" applyNumberFormat="1" applyFont="1"/>
    <xf numFmtId="165" fontId="2" fillId="0" borderId="0" xfId="0" applyNumberFormat="1" applyFont="1"/>
    <xf numFmtId="0" fontId="12" fillId="0" borderId="0" xfId="0" applyFont="1"/>
    <xf numFmtId="17" fontId="0" fillId="0" borderId="0" xfId="0" applyNumberFormat="1"/>
    <xf numFmtId="2" fontId="0" fillId="0" borderId="0" xfId="0" applyNumberFormat="1"/>
    <xf numFmtId="2" fontId="10" fillId="0" borderId="0" xfId="0" applyNumberFormat="1" applyFont="1"/>
    <xf numFmtId="165" fontId="4" fillId="0" borderId="0" xfId="0" applyNumberFormat="1" applyFont="1"/>
    <xf numFmtId="168" fontId="0" fillId="0" borderId="0" xfId="0" applyNumberFormat="1"/>
    <xf numFmtId="165" fontId="9" fillId="0" borderId="0" xfId="0" applyNumberFormat="1" applyFont="1"/>
    <xf numFmtId="165" fontId="6" fillId="0" borderId="0" xfId="0" applyNumberFormat="1" applyFont="1"/>
    <xf numFmtId="0" fontId="13" fillId="0" borderId="0" xfId="0" applyFont="1"/>
    <xf numFmtId="4" fontId="0" fillId="0" borderId="0" xfId="0" applyNumberFormat="1"/>
    <xf numFmtId="169" fontId="10" fillId="0" borderId="0" xfId="0" applyNumberFormat="1" applyFont="1"/>
    <xf numFmtId="2" fontId="2" fillId="0" borderId="0" xfId="0" applyNumberFormat="1" applyFont="1"/>
    <xf numFmtId="168" fontId="2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FDCA-0799-487E-BB88-63259A32F726}">
  <dimension ref="A1:B32"/>
  <sheetViews>
    <sheetView tabSelected="1" workbookViewId="0"/>
  </sheetViews>
  <sheetFormatPr defaultRowHeight="15" x14ac:dyDescent="0.25"/>
  <cols>
    <col min="1" max="1" width="20.7109375" customWidth="1"/>
    <col min="2" max="2" width="108.7109375" customWidth="1"/>
  </cols>
  <sheetData>
    <row r="1" spans="1:2" ht="18.75" x14ac:dyDescent="0.3">
      <c r="A1" s="2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A4" s="1" t="s">
        <v>3</v>
      </c>
      <c r="B4" t="s">
        <v>4</v>
      </c>
    </row>
    <row r="6" spans="1:2" x14ac:dyDescent="0.25">
      <c r="A6" s="1" t="s">
        <v>5</v>
      </c>
      <c r="B6" t="s">
        <v>6</v>
      </c>
    </row>
    <row r="8" spans="1:2" x14ac:dyDescent="0.25">
      <c r="A8" s="1" t="s">
        <v>7</v>
      </c>
      <c r="B8" t="s">
        <v>8</v>
      </c>
    </row>
    <row r="9" spans="1:2" x14ac:dyDescent="0.25">
      <c r="A9" s="1"/>
      <c r="B9" t="s">
        <v>9</v>
      </c>
    </row>
    <row r="11" spans="1:2" x14ac:dyDescent="0.25">
      <c r="A11" s="1" t="s">
        <v>10</v>
      </c>
    </row>
    <row r="12" spans="1:2" x14ac:dyDescent="0.25">
      <c r="A12" s="3" t="s">
        <v>11</v>
      </c>
      <c r="B12" t="s">
        <v>12</v>
      </c>
    </row>
    <row r="13" spans="1:2" x14ac:dyDescent="0.25">
      <c r="A13" s="4" t="s">
        <v>13</v>
      </c>
      <c r="B13" t="s">
        <v>14</v>
      </c>
    </row>
    <row r="14" spans="1:2" x14ac:dyDescent="0.25">
      <c r="A14" s="5" t="s">
        <v>15</v>
      </c>
      <c r="B14" t="s">
        <v>16</v>
      </c>
    </row>
    <row r="15" spans="1:2" x14ac:dyDescent="0.25">
      <c r="A15" s="1" t="s">
        <v>17</v>
      </c>
      <c r="B15" t="s">
        <v>18</v>
      </c>
    </row>
    <row r="17" spans="1:2" x14ac:dyDescent="0.25">
      <c r="A17" s="1" t="s">
        <v>19</v>
      </c>
    </row>
    <row r="18" spans="1:2" x14ac:dyDescent="0.25">
      <c r="A18" s="1" t="s">
        <v>20</v>
      </c>
      <c r="B18" t="s">
        <v>21</v>
      </c>
    </row>
    <row r="19" spans="1:2" x14ac:dyDescent="0.25">
      <c r="A19" s="1" t="s">
        <v>22</v>
      </c>
      <c r="B19" t="s">
        <v>23</v>
      </c>
    </row>
    <row r="20" spans="1:2" x14ac:dyDescent="0.25">
      <c r="A20" s="1" t="s">
        <v>24</v>
      </c>
      <c r="B20" t="s">
        <v>25</v>
      </c>
    </row>
    <row r="21" spans="1:2" x14ac:dyDescent="0.25">
      <c r="A21" s="1" t="s">
        <v>26</v>
      </c>
      <c r="B21" t="s">
        <v>27</v>
      </c>
    </row>
    <row r="22" spans="1:2" x14ac:dyDescent="0.25">
      <c r="A22" s="1" t="s">
        <v>28</v>
      </c>
      <c r="B22" t="s">
        <v>29</v>
      </c>
    </row>
    <row r="24" spans="1:2" x14ac:dyDescent="0.25">
      <c r="A24" s="1" t="s">
        <v>30</v>
      </c>
    </row>
    <row r="25" spans="1:2" x14ac:dyDescent="0.25">
      <c r="A25" s="1" t="s">
        <v>31</v>
      </c>
      <c r="B25" t="s">
        <v>32</v>
      </c>
    </row>
    <row r="26" spans="1:2" x14ac:dyDescent="0.25">
      <c r="A26" s="1" t="s">
        <v>33</v>
      </c>
      <c r="B26" t="s">
        <v>34</v>
      </c>
    </row>
    <row r="27" spans="1:2" x14ac:dyDescent="0.25">
      <c r="A27" s="1" t="s">
        <v>35</v>
      </c>
      <c r="B27" t="s">
        <v>36</v>
      </c>
    </row>
    <row r="28" spans="1:2" x14ac:dyDescent="0.25">
      <c r="A28" s="1" t="s">
        <v>37</v>
      </c>
      <c r="B28" t="s">
        <v>38</v>
      </c>
    </row>
    <row r="29" spans="1:2" x14ac:dyDescent="0.25">
      <c r="A29" s="1" t="s">
        <v>39</v>
      </c>
      <c r="B29" t="s">
        <v>40</v>
      </c>
    </row>
    <row r="30" spans="1:2" x14ac:dyDescent="0.25">
      <c r="A30" s="1"/>
      <c r="B30" t="s">
        <v>41</v>
      </c>
    </row>
    <row r="32" spans="1:2" x14ac:dyDescent="0.25">
      <c r="A32" s="1" t="s">
        <v>42</v>
      </c>
      <c r="B3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9A39-15F7-45CD-AB99-FFCD0111423B}">
  <dimension ref="A1:I73"/>
  <sheetViews>
    <sheetView workbookViewId="0"/>
  </sheetViews>
  <sheetFormatPr defaultRowHeight="15" x14ac:dyDescent="0.25"/>
  <cols>
    <col min="1" max="1" width="38.7109375" customWidth="1"/>
    <col min="2" max="8" width="11.7109375" customWidth="1"/>
    <col min="9" max="9" width="76.7109375" customWidth="1"/>
  </cols>
  <sheetData>
    <row r="1" spans="1:9" ht="17.25" x14ac:dyDescent="0.3">
      <c r="A1" s="6" t="s">
        <v>44</v>
      </c>
    </row>
    <row r="3" spans="1:9" x14ac:dyDescent="0.25">
      <c r="A3" s="1" t="s">
        <v>45</v>
      </c>
      <c r="B3" s="8">
        <v>1</v>
      </c>
      <c r="C3" s="1" t="str">
        <f>IF(B3=1,"BASE CASE","DOWNSIDE CASE")</f>
        <v>BASE CASE</v>
      </c>
    </row>
    <row r="4" spans="1:9" x14ac:dyDescent="0.25">
      <c r="A4" s="9" t="s">
        <v>46</v>
      </c>
    </row>
    <row r="6" spans="1:9" x14ac:dyDescent="0.25">
      <c r="A6" s="1" t="s">
        <v>47</v>
      </c>
    </row>
    <row r="7" spans="1:9" x14ac:dyDescent="0.25">
      <c r="A7" s="10" t="s">
        <v>48</v>
      </c>
    </row>
    <row r="8" spans="1:9" x14ac:dyDescent="0.25">
      <c r="A8" s="11" t="s">
        <v>49</v>
      </c>
    </row>
    <row r="9" spans="1:9" x14ac:dyDescent="0.25">
      <c r="A9" s="12" t="s">
        <v>50</v>
      </c>
    </row>
    <row r="11" spans="1:9" x14ac:dyDescent="0.25">
      <c r="A11" s="13" t="s">
        <v>51</v>
      </c>
      <c r="B11" s="13"/>
      <c r="C11" s="13"/>
      <c r="D11" s="13"/>
      <c r="E11" s="13"/>
      <c r="F11" s="13"/>
      <c r="G11" s="13"/>
      <c r="H11" s="13"/>
      <c r="I11" s="13"/>
    </row>
    <row r="12" spans="1:9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59</v>
      </c>
      <c r="I12" s="1" t="s">
        <v>60</v>
      </c>
    </row>
    <row r="13" spans="1:9" x14ac:dyDescent="0.25">
      <c r="A13" t="s">
        <v>61</v>
      </c>
      <c r="B13" s="14">
        <f>IF($B$3=1,B42,B57)</f>
        <v>5448</v>
      </c>
      <c r="C13" s="14">
        <f>IF($B$3=1,C42,C57)</f>
        <v>5900</v>
      </c>
      <c r="D13" s="14">
        <f>IF($B$3=1,D42,D57)</f>
        <v>6100</v>
      </c>
      <c r="E13" s="14">
        <f>IF($B$3=1,E42,E57)</f>
        <v>6300</v>
      </c>
      <c r="F13" s="14">
        <f>IF($B$3=1,F42,F57)</f>
        <v>6400</v>
      </c>
      <c r="G13" s="14">
        <f>IF($B$3=1,G42,G57)</f>
        <v>6500</v>
      </c>
      <c r="H13" s="14">
        <f>IF($B$3=1,H42,H57)</f>
        <v>6600</v>
      </c>
      <c r="I13" s="9" t="s">
        <v>62</v>
      </c>
    </row>
    <row r="14" spans="1:9" x14ac:dyDescent="0.25">
      <c r="A14" t="s">
        <v>63</v>
      </c>
      <c r="B14" s="15">
        <f>IF($B$3=1,B43,B58)</f>
        <v>230.9</v>
      </c>
      <c r="C14" s="15">
        <f>IF($B$3=1,C43,C58)</f>
        <v>271</v>
      </c>
      <c r="D14" s="15">
        <f>IF($B$3=1,D43,D58)</f>
        <v>274</v>
      </c>
      <c r="E14" s="15">
        <f>IF($B$3=1,E43,E58)</f>
        <v>277</v>
      </c>
      <c r="F14" s="15">
        <f>IF($B$3=1,F43,F58)</f>
        <v>280</v>
      </c>
      <c r="G14" s="15">
        <f>IF($B$3=1,G43,G58)</f>
        <v>283</v>
      </c>
      <c r="H14" s="15">
        <f>IF($B$3=1,H43,H58)</f>
        <v>286</v>
      </c>
      <c r="I14" s="9" t="s">
        <v>64</v>
      </c>
    </row>
    <row r="15" spans="1:9" x14ac:dyDescent="0.25">
      <c r="A15" t="s">
        <v>65</v>
      </c>
      <c r="B15" s="16">
        <f>IF($B$3=1,B44,B59)</f>
        <v>0.29399999999999998</v>
      </c>
      <c r="C15" s="16">
        <f>IF($B$3=1,C44,C59)</f>
        <v>0.35</v>
      </c>
      <c r="D15" s="16">
        <f>IF($B$3=1,D44,D59)</f>
        <v>0.35499999999999998</v>
      </c>
      <c r="E15" s="16">
        <f>IF($B$3=1,E44,E59)</f>
        <v>0.35499999999999998</v>
      </c>
      <c r="F15" s="16">
        <f>IF($B$3=1,F44,F59)</f>
        <v>0.35499999999999998</v>
      </c>
      <c r="G15" s="16">
        <f>IF($B$3=1,G44,G59)</f>
        <v>0.35499999999999998</v>
      </c>
      <c r="H15" s="16">
        <f>IF($B$3=1,H44,H59)</f>
        <v>0.35499999999999998</v>
      </c>
      <c r="I15" s="9" t="s">
        <v>66</v>
      </c>
    </row>
    <row r="16" spans="1:9" x14ac:dyDescent="0.25">
      <c r="A16" t="s">
        <v>67</v>
      </c>
      <c r="B16" s="15">
        <f>IF($B$3=1,B45,B60)</f>
        <v>262</v>
      </c>
      <c r="C16" s="15">
        <f>IF($B$3=1,C45,C60)</f>
        <v>295</v>
      </c>
      <c r="D16" s="15">
        <f>IF($B$3=1,D45,D60)</f>
        <v>305</v>
      </c>
      <c r="E16" s="15">
        <f>IF($B$3=1,E45,E60)</f>
        <v>320</v>
      </c>
      <c r="F16" s="15">
        <f>IF($B$3=1,F45,F60)</f>
        <v>330</v>
      </c>
      <c r="G16" s="15">
        <f>IF($B$3=1,G45,G60)</f>
        <v>340</v>
      </c>
      <c r="H16" s="15">
        <f>IF($B$3=1,H45,H60)</f>
        <v>350</v>
      </c>
      <c r="I16" s="9" t="s">
        <v>68</v>
      </c>
    </row>
    <row r="17" spans="1:9" x14ac:dyDescent="0.25">
      <c r="A17" t="s">
        <v>69</v>
      </c>
      <c r="B17" s="15">
        <f>IF($B$3=1,B46,B61)</f>
        <v>297</v>
      </c>
      <c r="C17" s="15">
        <f>IF($B$3=1,C46,C61)</f>
        <v>387.5</v>
      </c>
      <c r="D17" s="15">
        <f>IF($B$3=1,D46,D61)</f>
        <v>390</v>
      </c>
      <c r="E17" s="15">
        <f>IF($B$3=1,E46,E61)</f>
        <v>380</v>
      </c>
      <c r="F17" s="15">
        <f>IF($B$3=1,F46,F61)</f>
        <v>370</v>
      </c>
      <c r="G17" s="15">
        <f>IF($B$3=1,G46,G61)</f>
        <v>360</v>
      </c>
      <c r="H17" s="15">
        <f>IF($B$3=1,H46,H61)</f>
        <v>350</v>
      </c>
      <c r="I17" s="9" t="s">
        <v>70</v>
      </c>
    </row>
    <row r="18" spans="1:9" x14ac:dyDescent="0.25">
      <c r="A18" t="s">
        <v>71</v>
      </c>
      <c r="B18" s="15">
        <f>IF($B$3=1,B47,B62)</f>
        <v>341</v>
      </c>
      <c r="C18" s="15">
        <f>IF($B$3=1,C47,C62)</f>
        <v>300</v>
      </c>
      <c r="D18" s="15">
        <f>IF($B$3=1,D47,D62)</f>
        <v>350</v>
      </c>
      <c r="E18" s="15">
        <f>IF($B$3=1,E47,E62)</f>
        <v>350</v>
      </c>
      <c r="F18" s="15">
        <f>IF($B$3=1,F47,F62)</f>
        <v>350</v>
      </c>
      <c r="G18" s="15">
        <f>IF($B$3=1,G47,G62)</f>
        <v>350</v>
      </c>
      <c r="H18" s="15">
        <f>IF($B$3=1,H47,H62)</f>
        <v>300</v>
      </c>
      <c r="I18" s="9" t="s">
        <v>72</v>
      </c>
    </row>
    <row r="19" spans="1:9" x14ac:dyDescent="0.25">
      <c r="A19" t="s">
        <v>73</v>
      </c>
      <c r="B19" s="15">
        <f>IF($B$3=1,B48,B63)</f>
        <v>0</v>
      </c>
      <c r="C19" s="15">
        <f>IF($B$3=1,C48,C63)</f>
        <v>-20</v>
      </c>
      <c r="D19" s="15">
        <f>IF($B$3=1,D48,D63)</f>
        <v>-10</v>
      </c>
      <c r="E19" s="15">
        <f>IF($B$3=1,E48,E63)</f>
        <v>-10</v>
      </c>
      <c r="F19" s="15">
        <f>IF($B$3=1,F48,F63)</f>
        <v>-10</v>
      </c>
      <c r="G19" s="15">
        <f>IF($B$3=1,G48,G63)</f>
        <v>-10</v>
      </c>
      <c r="H19" s="15">
        <f>IF($B$3=1,H48,H63)</f>
        <v>-10</v>
      </c>
      <c r="I19" s="9" t="s">
        <v>74</v>
      </c>
    </row>
    <row r="20" spans="1:9" x14ac:dyDescent="0.25">
      <c r="A20" t="s">
        <v>75</v>
      </c>
      <c r="B20" s="15">
        <f>IF($B$3=1,B49,B64)</f>
        <v>0</v>
      </c>
      <c r="C20" s="15">
        <f>IF($B$3=1,C49,C64)</f>
        <v>-10</v>
      </c>
      <c r="D20" s="15">
        <f>IF($B$3=1,D49,D64)</f>
        <v>-10</v>
      </c>
      <c r="E20" s="15">
        <f>IF($B$3=1,E49,E64)</f>
        <v>-10</v>
      </c>
      <c r="F20" s="15">
        <f>IF($B$3=1,F49,F64)</f>
        <v>-10</v>
      </c>
      <c r="G20" s="15">
        <f>IF($B$3=1,G49,G64)</f>
        <v>-10</v>
      </c>
      <c r="H20" s="15">
        <f>IF($B$3=1,H49,H64)</f>
        <v>-10</v>
      </c>
      <c r="I20" s="9" t="s">
        <v>76</v>
      </c>
    </row>
    <row r="21" spans="1:9" x14ac:dyDescent="0.25">
      <c r="A21" t="s">
        <v>77</v>
      </c>
      <c r="B21" s="15">
        <f>IF($B$3=1,B50,B65)</f>
        <v>0</v>
      </c>
      <c r="C21" s="15">
        <f>IF($B$3=1,C50,C65)</f>
        <v>-5</v>
      </c>
      <c r="D21" s="15">
        <f>IF($B$3=1,D50,D65)</f>
        <v>-5</v>
      </c>
      <c r="E21" s="15">
        <f>IF($B$3=1,E50,E65)</f>
        <v>-5</v>
      </c>
      <c r="F21" s="15">
        <f>IF($B$3=1,F50,F65)</f>
        <v>-5</v>
      </c>
      <c r="G21" s="15">
        <f>IF($B$3=1,G50,G65)</f>
        <v>-5</v>
      </c>
      <c r="H21" s="15">
        <f>IF($B$3=1,H50,H65)</f>
        <v>-5</v>
      </c>
      <c r="I21" s="9" t="s">
        <v>78</v>
      </c>
    </row>
    <row r="22" spans="1:9" x14ac:dyDescent="0.25">
      <c r="A22" t="s">
        <v>79</v>
      </c>
      <c r="B22" s="15">
        <f>IF($B$3=1,B51,B66)</f>
        <v>0</v>
      </c>
      <c r="C22" s="15">
        <f>IF($B$3=1,C51,C66)</f>
        <v>0</v>
      </c>
      <c r="D22" s="15">
        <f>IF($B$3=1,D51,D66)</f>
        <v>0</v>
      </c>
      <c r="E22" s="15">
        <f>IF($B$3=1,E51,E66)</f>
        <v>0</v>
      </c>
      <c r="F22" s="15">
        <f>IF($B$3=1,F51,F66)</f>
        <v>0</v>
      </c>
      <c r="G22" s="15">
        <f>IF($B$3=1,G51,G66)</f>
        <v>0</v>
      </c>
      <c r="H22" s="15">
        <f>IF($B$3=1,H51,H66)</f>
        <v>0</v>
      </c>
      <c r="I22" s="9" t="s">
        <v>80</v>
      </c>
    </row>
    <row r="24" spans="1:9" x14ac:dyDescent="0.25">
      <c r="A24" s="13" t="s">
        <v>107</v>
      </c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" t="s">
        <v>52</v>
      </c>
      <c r="B25" s="1" t="s">
        <v>53</v>
      </c>
      <c r="C25" s="1" t="s">
        <v>54</v>
      </c>
      <c r="D25" s="1" t="s">
        <v>55</v>
      </c>
      <c r="E25" s="1" t="s">
        <v>56</v>
      </c>
      <c r="F25" s="1" t="s">
        <v>57</v>
      </c>
      <c r="G25" s="1" t="s">
        <v>58</v>
      </c>
      <c r="H25" s="1" t="s">
        <v>59</v>
      </c>
      <c r="I25" s="1" t="s">
        <v>60</v>
      </c>
    </row>
    <row r="26" spans="1:9" x14ac:dyDescent="0.25">
      <c r="A26" t="s">
        <v>91</v>
      </c>
      <c r="B26" s="23">
        <f>IF($B$3=1,B52,B67)</f>
        <v>3.7199999999999997E-2</v>
      </c>
      <c r="C26" s="23">
        <f>IF($B$3=1,C52,C67)</f>
        <v>3.7199999999999997E-2</v>
      </c>
      <c r="D26" s="23">
        <f>IF($B$3=1,D52,D67)</f>
        <v>3.7199999999999997E-2</v>
      </c>
      <c r="E26" s="23">
        <f>IF($B$3=1,E52,E67)</f>
        <v>3.7199999999999997E-2</v>
      </c>
      <c r="F26" s="23">
        <f>IF($B$3=1,F52,F67)</f>
        <v>3.7199999999999997E-2</v>
      </c>
      <c r="G26" s="23">
        <f>IF($B$3=1,G52,G67)</f>
        <v>3.7199999999999997E-2</v>
      </c>
      <c r="H26" s="23">
        <f>IF($B$3=1,H52,H67)</f>
        <v>3.7199999999999997E-2</v>
      </c>
      <c r="I26" s="9" t="s">
        <v>108</v>
      </c>
    </row>
    <row r="27" spans="1:9" x14ac:dyDescent="0.25">
      <c r="A27" t="s">
        <v>109</v>
      </c>
      <c r="B27" s="29">
        <v>1.3252999999999999</v>
      </c>
      <c r="C27" s="29">
        <v>1.3252999999999999</v>
      </c>
      <c r="D27" s="29">
        <v>1.3252999999999999</v>
      </c>
      <c r="E27" s="29">
        <v>1.3252999999999999</v>
      </c>
      <c r="F27" s="29">
        <v>1.3252999999999999</v>
      </c>
      <c r="G27" s="29">
        <v>1.3252999999999999</v>
      </c>
      <c r="H27" s="29">
        <v>1.3252999999999999</v>
      </c>
      <c r="I27" s="9" t="s">
        <v>110</v>
      </c>
    </row>
    <row r="28" spans="1:9" x14ac:dyDescent="0.25">
      <c r="A28" t="s">
        <v>111</v>
      </c>
      <c r="B28" s="24">
        <v>6.7500000000000004E-2</v>
      </c>
      <c r="C28" s="24">
        <v>6.7500000000000004E-2</v>
      </c>
      <c r="D28" s="24">
        <v>6.7500000000000004E-2</v>
      </c>
      <c r="E28" s="24">
        <v>6.7500000000000004E-2</v>
      </c>
      <c r="F28" s="24">
        <v>6.7500000000000004E-2</v>
      </c>
      <c r="G28" s="24">
        <v>6.7500000000000004E-2</v>
      </c>
      <c r="H28" s="24">
        <v>6.7500000000000004E-2</v>
      </c>
      <c r="I28" s="9" t="s">
        <v>112</v>
      </c>
    </row>
    <row r="29" spans="1:9" x14ac:dyDescent="0.25">
      <c r="A29" t="s">
        <v>113</v>
      </c>
      <c r="B29" s="24">
        <v>0.2016</v>
      </c>
      <c r="C29" s="24">
        <v>0.2016</v>
      </c>
      <c r="D29" s="24">
        <v>0.2016</v>
      </c>
      <c r="E29" s="24">
        <v>0.2016</v>
      </c>
      <c r="F29" s="24">
        <v>0.2016</v>
      </c>
      <c r="G29" s="24">
        <v>0.2016</v>
      </c>
      <c r="H29" s="24">
        <v>0.2016</v>
      </c>
      <c r="I29" s="9" t="s">
        <v>114</v>
      </c>
    </row>
    <row r="31" spans="1:9" x14ac:dyDescent="0.25">
      <c r="A31" s="13" t="s">
        <v>115</v>
      </c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t="s">
        <v>116</v>
      </c>
      <c r="B32" s="8">
        <v>2</v>
      </c>
      <c r="I32" s="9" t="s">
        <v>117</v>
      </c>
    </row>
    <row r="33" spans="1:9" x14ac:dyDescent="0.25">
      <c r="A33" t="s">
        <v>118</v>
      </c>
      <c r="B33" s="30">
        <f>CHOOSE(B32,30,40,50)</f>
        <v>40</v>
      </c>
      <c r="I33" s="31" t="s">
        <v>119</v>
      </c>
    </row>
    <row r="34" spans="1:9" x14ac:dyDescent="0.25">
      <c r="A34" t="s">
        <v>120</v>
      </c>
      <c r="B34" s="7">
        <f>IF($B$3=1,0,1)</f>
        <v>0</v>
      </c>
      <c r="I34" s="9" t="s">
        <v>121</v>
      </c>
    </row>
    <row r="35" spans="1:9" x14ac:dyDescent="0.25">
      <c r="A35" t="s">
        <v>122</v>
      </c>
      <c r="B35" s="8">
        <v>1</v>
      </c>
      <c r="I35" s="9" t="s">
        <v>123</v>
      </c>
    </row>
    <row r="36" spans="1:9" x14ac:dyDescent="0.25">
      <c r="A36" t="s">
        <v>124</v>
      </c>
      <c r="B36" s="26">
        <v>100</v>
      </c>
      <c r="I36" s="31" t="s">
        <v>125</v>
      </c>
    </row>
    <row r="37" spans="1:9" x14ac:dyDescent="0.25">
      <c r="A37" t="s">
        <v>126</v>
      </c>
      <c r="B37" s="8">
        <v>1</v>
      </c>
      <c r="I37" s="9" t="s">
        <v>127</v>
      </c>
    </row>
    <row r="40" spans="1:9" x14ac:dyDescent="0.25">
      <c r="A40" s="13" t="s">
        <v>81</v>
      </c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" t="s">
        <v>52</v>
      </c>
      <c r="B41" s="1" t="s">
        <v>53</v>
      </c>
      <c r="C41" s="1" t="s">
        <v>54</v>
      </c>
      <c r="D41" s="1" t="s">
        <v>55</v>
      </c>
      <c r="E41" s="1" t="s">
        <v>56</v>
      </c>
      <c r="F41" s="1" t="s">
        <v>57</v>
      </c>
      <c r="G41" s="1" t="s">
        <v>58</v>
      </c>
      <c r="H41" s="1" t="s">
        <v>59</v>
      </c>
      <c r="I41" s="1" t="s">
        <v>60</v>
      </c>
    </row>
    <row r="42" spans="1:9" x14ac:dyDescent="0.25">
      <c r="A42" t="s">
        <v>61</v>
      </c>
      <c r="B42" s="17">
        <v>5448</v>
      </c>
      <c r="C42" s="18">
        <v>5900</v>
      </c>
      <c r="D42" s="18">
        <v>6100</v>
      </c>
      <c r="E42" s="18">
        <v>6300</v>
      </c>
      <c r="F42" s="18">
        <v>6400</v>
      </c>
      <c r="G42" s="18">
        <v>6500</v>
      </c>
      <c r="H42" s="18">
        <v>6600</v>
      </c>
      <c r="I42" s="9" t="s">
        <v>82</v>
      </c>
    </row>
    <row r="43" spans="1:9" x14ac:dyDescent="0.25">
      <c r="A43" t="s">
        <v>63</v>
      </c>
      <c r="B43" s="19">
        <v>230.9</v>
      </c>
      <c r="C43" s="20">
        <v>271</v>
      </c>
      <c r="D43" s="20">
        <v>274</v>
      </c>
      <c r="E43" s="20">
        <v>277</v>
      </c>
      <c r="F43" s="20">
        <v>280</v>
      </c>
      <c r="G43" s="20">
        <v>283</v>
      </c>
      <c r="H43" s="20">
        <v>286</v>
      </c>
      <c r="I43" s="9" t="s">
        <v>83</v>
      </c>
    </row>
    <row r="44" spans="1:9" x14ac:dyDescent="0.25">
      <c r="A44" t="s">
        <v>65</v>
      </c>
      <c r="B44" s="21">
        <v>0.29399999999999998</v>
      </c>
      <c r="C44" s="22">
        <v>0.35</v>
      </c>
      <c r="D44" s="22">
        <v>0.35499999999999998</v>
      </c>
      <c r="E44" s="22">
        <v>0.35499999999999998</v>
      </c>
      <c r="F44" s="22">
        <v>0.35499999999999998</v>
      </c>
      <c r="G44" s="22">
        <v>0.35499999999999998</v>
      </c>
      <c r="H44" s="22">
        <v>0.35499999999999998</v>
      </c>
      <c r="I44" s="9" t="s">
        <v>84</v>
      </c>
    </row>
    <row r="45" spans="1:9" x14ac:dyDescent="0.25">
      <c r="A45" t="s">
        <v>67</v>
      </c>
      <c r="B45" s="19">
        <v>262</v>
      </c>
      <c r="C45" s="20">
        <v>295</v>
      </c>
      <c r="D45" s="20">
        <v>305</v>
      </c>
      <c r="E45" s="20">
        <v>320</v>
      </c>
      <c r="F45" s="20">
        <v>330</v>
      </c>
      <c r="G45" s="20">
        <v>340</v>
      </c>
      <c r="H45" s="20">
        <v>350</v>
      </c>
      <c r="I45" s="9" t="s">
        <v>85</v>
      </c>
    </row>
    <row r="46" spans="1:9" x14ac:dyDescent="0.25">
      <c r="A46" t="s">
        <v>69</v>
      </c>
      <c r="B46" s="19">
        <v>297</v>
      </c>
      <c r="C46" s="20">
        <v>387.5</v>
      </c>
      <c r="D46" s="20">
        <v>390</v>
      </c>
      <c r="E46" s="20">
        <v>380</v>
      </c>
      <c r="F46" s="20">
        <v>370</v>
      </c>
      <c r="G46" s="20">
        <v>360</v>
      </c>
      <c r="H46" s="20">
        <v>350</v>
      </c>
      <c r="I46" s="9" t="s">
        <v>86</v>
      </c>
    </row>
    <row r="47" spans="1:9" x14ac:dyDescent="0.25">
      <c r="A47" t="s">
        <v>71</v>
      </c>
      <c r="B47" s="19">
        <v>341</v>
      </c>
      <c r="C47" s="19">
        <v>300</v>
      </c>
      <c r="D47" s="19">
        <v>350</v>
      </c>
      <c r="E47" s="19">
        <v>350</v>
      </c>
      <c r="F47" s="19">
        <v>350</v>
      </c>
      <c r="G47" s="19">
        <v>350</v>
      </c>
      <c r="H47" s="19">
        <v>300</v>
      </c>
      <c r="I47" s="9" t="s">
        <v>87</v>
      </c>
    </row>
    <row r="48" spans="1:9" x14ac:dyDescent="0.25">
      <c r="A48" t="s">
        <v>73</v>
      </c>
      <c r="B48" s="19">
        <v>0</v>
      </c>
      <c r="C48" s="20">
        <v>-20</v>
      </c>
      <c r="D48" s="20">
        <v>-10</v>
      </c>
      <c r="E48" s="20">
        <v>-10</v>
      </c>
      <c r="F48" s="20">
        <v>-10</v>
      </c>
      <c r="G48" s="20">
        <v>-10</v>
      </c>
      <c r="H48" s="20">
        <v>-10</v>
      </c>
      <c r="I48" s="9" t="s">
        <v>88</v>
      </c>
    </row>
    <row r="49" spans="1:9" x14ac:dyDescent="0.25">
      <c r="A49" t="s">
        <v>75</v>
      </c>
      <c r="B49" s="19">
        <v>0</v>
      </c>
      <c r="C49" s="20">
        <v>-10</v>
      </c>
      <c r="D49" s="20">
        <v>-10</v>
      </c>
      <c r="E49" s="20">
        <v>-10</v>
      </c>
      <c r="F49" s="20">
        <v>-10</v>
      </c>
      <c r="G49" s="20">
        <v>-10</v>
      </c>
      <c r="H49" s="20">
        <v>-10</v>
      </c>
      <c r="I49" s="9" t="s">
        <v>89</v>
      </c>
    </row>
    <row r="50" spans="1:9" x14ac:dyDescent="0.25">
      <c r="A50" t="s">
        <v>77</v>
      </c>
      <c r="B50" s="19">
        <v>0</v>
      </c>
      <c r="C50" s="20">
        <v>-5</v>
      </c>
      <c r="D50" s="20">
        <v>-5</v>
      </c>
      <c r="E50" s="20">
        <v>-5</v>
      </c>
      <c r="F50" s="20">
        <v>-5</v>
      </c>
      <c r="G50" s="20">
        <v>-5</v>
      </c>
      <c r="H50" s="20">
        <v>-5</v>
      </c>
      <c r="I50" s="9" t="s">
        <v>90</v>
      </c>
    </row>
    <row r="51" spans="1:9" x14ac:dyDescent="0.25">
      <c r="A51" t="s">
        <v>79</v>
      </c>
      <c r="B51" s="19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9" t="s">
        <v>88</v>
      </c>
    </row>
    <row r="52" spans="1:9" x14ac:dyDescent="0.25">
      <c r="A52" t="s">
        <v>91</v>
      </c>
      <c r="B52" s="24">
        <v>3.7199999999999997E-2</v>
      </c>
      <c r="C52" s="24">
        <v>3.7199999999999997E-2</v>
      </c>
      <c r="D52" s="24">
        <v>3.7199999999999997E-2</v>
      </c>
      <c r="E52" s="24">
        <v>3.7199999999999997E-2</v>
      </c>
      <c r="F52" s="24">
        <v>3.7199999999999997E-2</v>
      </c>
      <c r="G52" s="24">
        <v>3.7199999999999997E-2</v>
      </c>
      <c r="H52" s="24">
        <v>3.7199999999999997E-2</v>
      </c>
      <c r="I52" s="9" t="s">
        <v>92</v>
      </c>
    </row>
    <row r="55" spans="1:9" x14ac:dyDescent="0.25">
      <c r="A55" s="13" t="s">
        <v>93</v>
      </c>
      <c r="B55" s="13"/>
      <c r="C55" s="13"/>
      <c r="D55" s="13"/>
      <c r="E55" s="13"/>
      <c r="F55" s="13"/>
      <c r="G55" s="13"/>
      <c r="H55" s="13"/>
      <c r="I55" s="13"/>
    </row>
    <row r="56" spans="1:9" x14ac:dyDescent="0.25">
      <c r="A56" s="1" t="s">
        <v>52</v>
      </c>
      <c r="B56" s="1" t="s">
        <v>53</v>
      </c>
      <c r="C56" s="1" t="s">
        <v>54</v>
      </c>
      <c r="D56" s="1" t="s">
        <v>55</v>
      </c>
      <c r="E56" s="1" t="s">
        <v>56</v>
      </c>
      <c r="F56" s="1" t="s">
        <v>57</v>
      </c>
      <c r="G56" s="1" t="s">
        <v>58</v>
      </c>
      <c r="H56" s="1" t="s">
        <v>59</v>
      </c>
      <c r="I56" s="1" t="s">
        <v>60</v>
      </c>
    </row>
    <row r="57" spans="1:9" x14ac:dyDescent="0.25">
      <c r="A57" t="s">
        <v>61</v>
      </c>
      <c r="B57" s="25">
        <v>5448</v>
      </c>
      <c r="C57" s="25">
        <v>5900</v>
      </c>
      <c r="D57" s="25">
        <v>4697</v>
      </c>
      <c r="E57" s="25">
        <v>4851</v>
      </c>
      <c r="F57" s="25">
        <v>4928</v>
      </c>
      <c r="G57" s="25">
        <v>5005</v>
      </c>
      <c r="H57" s="25">
        <v>5082</v>
      </c>
      <c r="I57" s="9" t="s">
        <v>94</v>
      </c>
    </row>
    <row r="58" spans="1:9" x14ac:dyDescent="0.25">
      <c r="A58" t="s">
        <v>63</v>
      </c>
      <c r="B58" s="26">
        <v>230.9</v>
      </c>
      <c r="C58" s="26">
        <v>271</v>
      </c>
      <c r="D58" s="26">
        <v>289.07</v>
      </c>
      <c r="E58" s="26">
        <v>292.24</v>
      </c>
      <c r="F58" s="26">
        <v>295.39999999999998</v>
      </c>
      <c r="G58" s="26">
        <v>298.57</v>
      </c>
      <c r="H58" s="26">
        <v>301.73</v>
      </c>
      <c r="I58" s="9" t="s">
        <v>95</v>
      </c>
    </row>
    <row r="59" spans="1:9" x14ac:dyDescent="0.25">
      <c r="A59" t="s">
        <v>65</v>
      </c>
      <c r="B59" s="27">
        <v>0.29399999999999998</v>
      </c>
      <c r="C59" s="27">
        <v>0.35</v>
      </c>
      <c r="D59" s="27">
        <v>0.32</v>
      </c>
      <c r="E59" s="27">
        <v>0.32</v>
      </c>
      <c r="F59" s="27">
        <v>0.32</v>
      </c>
      <c r="G59" s="27">
        <v>0.32</v>
      </c>
      <c r="H59" s="27">
        <v>0.32</v>
      </c>
      <c r="I59" s="9" t="s">
        <v>96</v>
      </c>
    </row>
    <row r="60" spans="1:9" x14ac:dyDescent="0.25">
      <c r="A60" t="s">
        <v>67</v>
      </c>
      <c r="B60" s="20">
        <v>262</v>
      </c>
      <c r="C60" s="20">
        <v>295</v>
      </c>
      <c r="D60" s="20">
        <v>305</v>
      </c>
      <c r="E60" s="20">
        <v>320</v>
      </c>
      <c r="F60" s="20">
        <v>330</v>
      </c>
      <c r="G60" s="20">
        <v>340</v>
      </c>
      <c r="H60" s="20">
        <v>350</v>
      </c>
      <c r="I60" s="9" t="s">
        <v>97</v>
      </c>
    </row>
    <row r="61" spans="1:9" x14ac:dyDescent="0.25">
      <c r="A61" t="s">
        <v>69</v>
      </c>
      <c r="B61" s="20">
        <v>297</v>
      </c>
      <c r="C61" s="20">
        <v>387.5</v>
      </c>
      <c r="D61" s="20">
        <v>390</v>
      </c>
      <c r="E61" s="20">
        <v>380</v>
      </c>
      <c r="F61" s="20">
        <v>370</v>
      </c>
      <c r="G61" s="20">
        <v>360</v>
      </c>
      <c r="H61" s="20">
        <v>350</v>
      </c>
      <c r="I61" s="9" t="s">
        <v>98</v>
      </c>
    </row>
    <row r="62" spans="1:9" x14ac:dyDescent="0.25">
      <c r="A62" t="s">
        <v>71</v>
      </c>
      <c r="B62" s="20">
        <v>341</v>
      </c>
      <c r="C62" s="20">
        <v>300</v>
      </c>
      <c r="D62" s="20">
        <v>350</v>
      </c>
      <c r="E62" s="20">
        <v>350</v>
      </c>
      <c r="F62" s="20">
        <v>350</v>
      </c>
      <c r="G62" s="20">
        <v>350</v>
      </c>
      <c r="H62" s="20">
        <v>300</v>
      </c>
      <c r="I62" s="9" t="s">
        <v>99</v>
      </c>
    </row>
    <row r="63" spans="1:9" x14ac:dyDescent="0.25">
      <c r="A63" t="s">
        <v>73</v>
      </c>
      <c r="B63" s="20">
        <v>0</v>
      </c>
      <c r="C63" s="20">
        <v>-20</v>
      </c>
      <c r="D63" s="20">
        <v>-10</v>
      </c>
      <c r="E63" s="20">
        <v>-10</v>
      </c>
      <c r="F63" s="20">
        <v>-10</v>
      </c>
      <c r="G63" s="20">
        <v>-10</v>
      </c>
      <c r="H63" s="20">
        <v>-10</v>
      </c>
      <c r="I63" s="9" t="s">
        <v>100</v>
      </c>
    </row>
    <row r="64" spans="1:9" x14ac:dyDescent="0.25">
      <c r="A64" t="s">
        <v>75</v>
      </c>
      <c r="B64" s="20">
        <v>0</v>
      </c>
      <c r="C64" s="20">
        <v>-10</v>
      </c>
      <c r="D64" s="20">
        <v>-10</v>
      </c>
      <c r="E64" s="20">
        <v>-10</v>
      </c>
      <c r="F64" s="20">
        <v>-10</v>
      </c>
      <c r="G64" s="20">
        <v>-10</v>
      </c>
      <c r="H64" s="20">
        <v>-10</v>
      </c>
      <c r="I64" s="9" t="s">
        <v>98</v>
      </c>
    </row>
    <row r="65" spans="1:9" x14ac:dyDescent="0.25">
      <c r="A65" t="s">
        <v>77</v>
      </c>
      <c r="B65" s="20">
        <v>0</v>
      </c>
      <c r="C65" s="20">
        <v>-5</v>
      </c>
      <c r="D65" s="20">
        <v>-5</v>
      </c>
      <c r="E65" s="20">
        <v>-5</v>
      </c>
      <c r="F65" s="20">
        <v>-5</v>
      </c>
      <c r="G65" s="20">
        <v>-5</v>
      </c>
      <c r="H65" s="20">
        <v>-5</v>
      </c>
      <c r="I65" s="9" t="s">
        <v>98</v>
      </c>
    </row>
    <row r="66" spans="1:9" x14ac:dyDescent="0.25">
      <c r="A66" t="s">
        <v>79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9" t="s">
        <v>98</v>
      </c>
    </row>
    <row r="67" spans="1:9" x14ac:dyDescent="0.25">
      <c r="A67" t="s">
        <v>91</v>
      </c>
      <c r="B67" s="28">
        <v>3.7199999999999997E-2</v>
      </c>
      <c r="C67" s="28">
        <v>3.7199999999999997E-2</v>
      </c>
      <c r="D67" s="28">
        <v>5.2499999999999998E-2</v>
      </c>
      <c r="E67" s="28">
        <v>5.2499999999999998E-2</v>
      </c>
      <c r="F67" s="28">
        <v>5.2499999999999998E-2</v>
      </c>
      <c r="G67" s="28">
        <v>5.2499999999999998E-2</v>
      </c>
      <c r="H67" s="28">
        <v>5.2499999999999998E-2</v>
      </c>
      <c r="I67" s="9" t="s">
        <v>101</v>
      </c>
    </row>
    <row r="69" spans="1:9" x14ac:dyDescent="0.25">
      <c r="A69" s="1" t="s">
        <v>102</v>
      </c>
    </row>
    <row r="70" spans="1:9" x14ac:dyDescent="0.25">
      <c r="A70" t="s">
        <v>103</v>
      </c>
    </row>
    <row r="71" spans="1:9" x14ac:dyDescent="0.25">
      <c r="A71" s="1" t="s">
        <v>104</v>
      </c>
    </row>
    <row r="72" spans="1:9" x14ac:dyDescent="0.25">
      <c r="A72" s="1" t="s">
        <v>105</v>
      </c>
    </row>
    <row r="73" spans="1:9" x14ac:dyDescent="0.25">
      <c r="A73" s="1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A7D3-BC73-4FD1-ABE3-AAABB624ADA0}">
  <dimension ref="A1:H49"/>
  <sheetViews>
    <sheetView workbookViewId="0"/>
  </sheetViews>
  <sheetFormatPr defaultRowHeight="15" x14ac:dyDescent="0.25"/>
  <cols>
    <col min="1" max="1" width="44.7109375" customWidth="1"/>
    <col min="2" max="7" width="13.7109375" customWidth="1"/>
    <col min="8" max="8" width="44.7109375" customWidth="1"/>
  </cols>
  <sheetData>
    <row r="1" spans="1:7" ht="17.25" x14ac:dyDescent="0.3">
      <c r="A1" s="6" t="s">
        <v>128</v>
      </c>
    </row>
    <row r="3" spans="1:7" x14ac:dyDescent="0.25">
      <c r="A3" s="1" t="s">
        <v>129</v>
      </c>
      <c r="B3" s="1" t="s">
        <v>130</v>
      </c>
      <c r="C3" s="1" t="s">
        <v>131</v>
      </c>
      <c r="D3" s="1" t="s">
        <v>132</v>
      </c>
      <c r="E3" s="1" t="s">
        <v>133</v>
      </c>
      <c r="F3" s="1" t="s">
        <v>134</v>
      </c>
      <c r="G3" s="1" t="s">
        <v>135</v>
      </c>
    </row>
    <row r="4" spans="1:7" x14ac:dyDescent="0.25">
      <c r="A4" t="s">
        <v>136</v>
      </c>
      <c r="B4" s="19">
        <v>792.3</v>
      </c>
      <c r="C4" s="15">
        <v>0</v>
      </c>
      <c r="D4" s="15">
        <f>B4+C4</f>
        <v>792.3</v>
      </c>
      <c r="E4" t="s">
        <v>137</v>
      </c>
      <c r="F4" s="32">
        <v>47178</v>
      </c>
      <c r="G4" s="9" t="s">
        <v>138</v>
      </c>
    </row>
    <row r="5" spans="1:7" x14ac:dyDescent="0.25">
      <c r="A5" t="s">
        <v>139</v>
      </c>
      <c r="B5" s="19">
        <v>465</v>
      </c>
      <c r="C5" s="15">
        <v>0</v>
      </c>
      <c r="D5" s="15">
        <f>B5+C5</f>
        <v>465</v>
      </c>
      <c r="E5" t="s">
        <v>140</v>
      </c>
      <c r="F5" s="32">
        <v>47178</v>
      </c>
      <c r="G5" s="9" t="s">
        <v>138</v>
      </c>
    </row>
    <row r="6" spans="1:7" x14ac:dyDescent="0.25">
      <c r="A6" t="s">
        <v>141</v>
      </c>
      <c r="B6" s="19">
        <v>100</v>
      </c>
      <c r="C6" s="15">
        <v>0</v>
      </c>
      <c r="D6" s="15">
        <f>B6+C6</f>
        <v>100</v>
      </c>
      <c r="E6" t="s">
        <v>140</v>
      </c>
      <c r="F6" s="32">
        <v>47178</v>
      </c>
      <c r="G6" s="9" t="s">
        <v>138</v>
      </c>
    </row>
    <row r="7" spans="1:7" x14ac:dyDescent="0.25">
      <c r="A7" t="s">
        <v>142</v>
      </c>
      <c r="B7" s="19">
        <v>0</v>
      </c>
      <c r="C7" s="15">
        <v>450</v>
      </c>
      <c r="D7" s="15">
        <f>B7+C7</f>
        <v>450</v>
      </c>
      <c r="E7" t="s">
        <v>143</v>
      </c>
      <c r="F7" s="32">
        <v>48030</v>
      </c>
      <c r="G7" s="9" t="s">
        <v>144</v>
      </c>
    </row>
    <row r="8" spans="1:7" x14ac:dyDescent="0.25">
      <c r="A8" t="s">
        <v>145</v>
      </c>
      <c r="B8" s="19">
        <v>0</v>
      </c>
      <c r="C8" s="15">
        <f>Assumptions!$B$34*100</f>
        <v>0</v>
      </c>
      <c r="D8" s="15">
        <f>B8+C8</f>
        <v>0</v>
      </c>
      <c r="E8" t="s">
        <v>143</v>
      </c>
      <c r="F8" s="32">
        <v>48030</v>
      </c>
      <c r="G8" s="9" t="s">
        <v>146</v>
      </c>
    </row>
    <row r="9" spans="1:7" x14ac:dyDescent="0.25">
      <c r="A9" t="s">
        <v>147</v>
      </c>
      <c r="B9" s="19">
        <v>163</v>
      </c>
      <c r="C9" s="15">
        <v>-163</v>
      </c>
      <c r="D9" s="15">
        <f>B9+C9</f>
        <v>0</v>
      </c>
      <c r="E9" t="s">
        <v>148</v>
      </c>
      <c r="F9" t="s">
        <v>149</v>
      </c>
      <c r="G9" s="9" t="s">
        <v>150</v>
      </c>
    </row>
    <row r="10" spans="1:7" x14ac:dyDescent="0.25">
      <c r="A10" t="s">
        <v>151</v>
      </c>
      <c r="B10" s="19">
        <v>20</v>
      </c>
      <c r="C10" s="15">
        <v>-20</v>
      </c>
      <c r="D10" s="15">
        <f>B10+C10</f>
        <v>0</v>
      </c>
      <c r="E10" t="s">
        <v>152</v>
      </c>
      <c r="F10" t="s">
        <v>149</v>
      </c>
      <c r="G10" s="9" t="s">
        <v>153</v>
      </c>
    </row>
    <row r="11" spans="1:7" x14ac:dyDescent="0.25">
      <c r="A11" t="s">
        <v>154</v>
      </c>
      <c r="B11" s="19">
        <v>6.5</v>
      </c>
      <c r="C11" s="15">
        <v>0</v>
      </c>
      <c r="D11" s="15">
        <f>B11+C11</f>
        <v>6.5</v>
      </c>
      <c r="E11" t="s">
        <v>152</v>
      </c>
      <c r="F11" t="s">
        <v>155</v>
      </c>
      <c r="G11" s="9" t="s">
        <v>156</v>
      </c>
    </row>
    <row r="12" spans="1:7" x14ac:dyDescent="0.25">
      <c r="A12" t="s">
        <v>157</v>
      </c>
      <c r="B12" s="19">
        <v>39.1</v>
      </c>
      <c r="C12" s="15">
        <v>0</v>
      </c>
      <c r="D12" s="15">
        <f>B12+C12</f>
        <v>39.1</v>
      </c>
      <c r="E12" t="s">
        <v>152</v>
      </c>
      <c r="F12" s="32">
        <v>46296</v>
      </c>
      <c r="G12" s="9" t="s">
        <v>158</v>
      </c>
    </row>
    <row r="13" spans="1:7" x14ac:dyDescent="0.25">
      <c r="A13" t="s">
        <v>159</v>
      </c>
      <c r="B13" s="19">
        <v>89.7</v>
      </c>
      <c r="C13" s="15">
        <v>0</v>
      </c>
      <c r="D13" s="15">
        <f>B13+C13</f>
        <v>89.7</v>
      </c>
      <c r="E13" t="s">
        <v>160</v>
      </c>
      <c r="F13" t="s">
        <v>155</v>
      </c>
      <c r="G13" s="9" t="s">
        <v>158</v>
      </c>
    </row>
    <row r="14" spans="1:7" x14ac:dyDescent="0.25">
      <c r="A14" s="1" t="s">
        <v>161</v>
      </c>
      <c r="B14" s="30">
        <f>SUM(B4:B13)</f>
        <v>1675.6</v>
      </c>
      <c r="C14" s="30">
        <f>SUM(C4:C13)</f>
        <v>267</v>
      </c>
      <c r="D14" s="30">
        <f>SUM(D4:D13)</f>
        <v>1942.6</v>
      </c>
    </row>
    <row r="15" spans="1:7" x14ac:dyDescent="0.25">
      <c r="A15" t="s">
        <v>162</v>
      </c>
      <c r="B15" s="19">
        <v>-14.5</v>
      </c>
      <c r="G15" s="9" t="s">
        <v>163</v>
      </c>
    </row>
    <row r="16" spans="1:7" x14ac:dyDescent="0.25">
      <c r="A16" s="1" t="s">
        <v>164</v>
      </c>
      <c r="B16" s="30">
        <f>B14+B15</f>
        <v>1661.1</v>
      </c>
    </row>
    <row r="17" spans="1:8" x14ac:dyDescent="0.25">
      <c r="A17" t="s">
        <v>165</v>
      </c>
      <c r="B17" s="19">
        <v>1661.1</v>
      </c>
    </row>
    <row r="18" spans="1:8" x14ac:dyDescent="0.25">
      <c r="A18" t="s">
        <v>166</v>
      </c>
      <c r="B18" s="15">
        <f>B16-B17</f>
        <v>0</v>
      </c>
      <c r="C18" s="1" t="str">
        <f>IF(ABS(B18)&lt;0.05,"TIES","CHECK")</f>
        <v>TIES</v>
      </c>
    </row>
    <row r="20" spans="1:8" x14ac:dyDescent="0.25">
      <c r="A20" s="1" t="s">
        <v>167</v>
      </c>
      <c r="B20" s="19">
        <v>114.9</v>
      </c>
      <c r="C20" s="15">
        <f>450+Assumptions!$B$34*100-163-20-Assumptions!$B$33</f>
        <v>227</v>
      </c>
      <c r="D20" s="30">
        <f>B20+C20</f>
        <v>341.9</v>
      </c>
    </row>
    <row r="21" spans="1:8" x14ac:dyDescent="0.25">
      <c r="A21" t="s">
        <v>168</v>
      </c>
      <c r="B21" s="19">
        <v>1.5</v>
      </c>
      <c r="D21" s="15">
        <f>B21</f>
        <v>1.5</v>
      </c>
    </row>
    <row r="22" spans="1:8" x14ac:dyDescent="0.25">
      <c r="A22" s="1" t="s">
        <v>169</v>
      </c>
      <c r="B22" s="30">
        <f>B14-B20-B21</f>
        <v>1559.1999999999998</v>
      </c>
      <c r="D22" s="30">
        <f>D14-D20-D21</f>
        <v>1599.1999999999998</v>
      </c>
    </row>
    <row r="23" spans="1:8" x14ac:dyDescent="0.25">
      <c r="A23" t="s">
        <v>170</v>
      </c>
      <c r="B23" s="19">
        <v>30.3</v>
      </c>
      <c r="D23" s="15">
        <v>0</v>
      </c>
      <c r="G23" s="9" t="s">
        <v>171</v>
      </c>
    </row>
    <row r="24" spans="1:8" x14ac:dyDescent="0.25">
      <c r="A24" s="1" t="s">
        <v>172</v>
      </c>
      <c r="B24" s="30">
        <f>B20+B23</f>
        <v>145.20000000000002</v>
      </c>
      <c r="D24" s="30">
        <f>D20+D23</f>
        <v>341.9</v>
      </c>
    </row>
    <row r="25" spans="1:8" x14ac:dyDescent="0.25">
      <c r="A25" t="s">
        <v>173</v>
      </c>
      <c r="B25" s="19">
        <v>145.19999999999999</v>
      </c>
      <c r="D25" s="19">
        <v>340</v>
      </c>
    </row>
    <row r="26" spans="1:8" x14ac:dyDescent="0.25">
      <c r="A26" t="s">
        <v>166</v>
      </c>
      <c r="B26" s="15">
        <f>B24-B25</f>
        <v>0</v>
      </c>
      <c r="D26" s="15">
        <f>D24-D25</f>
        <v>1.8999999999999773</v>
      </c>
    </row>
    <row r="27" spans="1:8" x14ac:dyDescent="0.25">
      <c r="A27" s="1" t="s">
        <v>174</v>
      </c>
      <c r="D27" s="20">
        <f>(1-Assumptions!$B$34)*100</f>
        <v>100</v>
      </c>
    </row>
    <row r="28" spans="1:8" x14ac:dyDescent="0.25">
      <c r="A28" s="9" t="s">
        <v>175</v>
      </c>
    </row>
    <row r="29" spans="1:8" x14ac:dyDescent="0.25">
      <c r="A29" s="9" t="s">
        <v>176</v>
      </c>
    </row>
    <row r="30" spans="1:8" x14ac:dyDescent="0.25">
      <c r="A30" s="13" t="s">
        <v>177</v>
      </c>
      <c r="B30" s="13"/>
      <c r="C30" s="13"/>
      <c r="D30" s="13"/>
      <c r="E30" s="13"/>
      <c r="F30" s="13"/>
      <c r="G30" s="13"/>
      <c r="H30" s="13"/>
    </row>
    <row r="31" spans="1:8" x14ac:dyDescent="0.25">
      <c r="A31" s="1" t="s">
        <v>178</v>
      </c>
      <c r="B31" s="1" t="s">
        <v>54</v>
      </c>
      <c r="C31" s="1" t="s">
        <v>55</v>
      </c>
      <c r="D31" s="1" t="s">
        <v>56</v>
      </c>
      <c r="E31" s="1" t="s">
        <v>57</v>
      </c>
      <c r="F31" s="1" t="s">
        <v>58</v>
      </c>
      <c r="G31" s="1" t="s">
        <v>59</v>
      </c>
    </row>
    <row r="32" spans="1:8" x14ac:dyDescent="0.25">
      <c r="A32" t="s">
        <v>179</v>
      </c>
      <c r="B32" s="34">
        <v>1</v>
      </c>
      <c r="C32" s="34">
        <v>1</v>
      </c>
      <c r="D32" s="34">
        <v>1</v>
      </c>
      <c r="E32" s="34">
        <v>0.25</v>
      </c>
      <c r="F32" s="34">
        <v>0</v>
      </c>
      <c r="G32" s="34">
        <v>0</v>
      </c>
      <c r="H32" s="9" t="s">
        <v>180</v>
      </c>
    </row>
    <row r="33" spans="1:8" x14ac:dyDescent="0.25">
      <c r="A33" t="s">
        <v>181</v>
      </c>
      <c r="B33" s="34">
        <v>0.44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9" t="s">
        <v>182</v>
      </c>
    </row>
    <row r="34" spans="1:8" x14ac:dyDescent="0.25">
      <c r="A34" t="s">
        <v>183</v>
      </c>
      <c r="B34" s="15">
        <f>1050*0.1/Assumptions!C27*B32</f>
        <v>79.2273447521316</v>
      </c>
      <c r="C34" s="15">
        <f>1050*0.1/Assumptions!D27*C32</f>
        <v>79.2273447521316</v>
      </c>
      <c r="D34" s="15">
        <f>1050*0.1/Assumptions!E27*D32</f>
        <v>79.2273447521316</v>
      </c>
      <c r="E34" s="15">
        <f>1050*0.1/Assumptions!F27*E32</f>
        <v>19.8068361880329</v>
      </c>
      <c r="F34" s="15">
        <f>1050*0.1/Assumptions!G27*F32</f>
        <v>0</v>
      </c>
      <c r="G34" s="15">
        <f>1050*0.1/Assumptions!H27*G32</f>
        <v>0</v>
      </c>
    </row>
    <row r="35" spans="1:8" x14ac:dyDescent="0.25">
      <c r="A35" t="s">
        <v>184</v>
      </c>
      <c r="B35" s="15">
        <f>565*0.10375*B32</f>
        <v>58.618749999999999</v>
      </c>
      <c r="C35" s="15">
        <f>565*0.10375*C32</f>
        <v>58.618749999999999</v>
      </c>
      <c r="D35" s="15">
        <f>565*0.10375*D32</f>
        <v>58.618749999999999</v>
      </c>
      <c r="E35" s="15">
        <f>565*0.10375*E32</f>
        <v>14.6546875</v>
      </c>
      <c r="F35" s="15">
        <f>565*0.10375*F32</f>
        <v>0</v>
      </c>
      <c r="G35" s="15">
        <f>565*0.10375*G32</f>
        <v>0</v>
      </c>
    </row>
    <row r="36" spans="1:8" x14ac:dyDescent="0.25">
      <c r="A36" t="s">
        <v>185</v>
      </c>
      <c r="B36" s="15">
        <f>450*(Assumptions!C26+Assumptions!C28)*B33</f>
        <v>20.730600000000003</v>
      </c>
      <c r="C36" s="15">
        <f>450*(Assumptions!D26+Assumptions!D28)*C33</f>
        <v>47.115000000000002</v>
      </c>
      <c r="D36" s="15">
        <f>450*(Assumptions!E26+Assumptions!E28)*D33</f>
        <v>47.115000000000002</v>
      </c>
      <c r="E36" s="15">
        <f>450*(Assumptions!F26+Assumptions!F28)*E33</f>
        <v>47.115000000000002</v>
      </c>
      <c r="F36" s="15">
        <f>450*(Assumptions!G26+Assumptions!G28)*F33</f>
        <v>47.115000000000002</v>
      </c>
      <c r="G36" s="15">
        <f>450*(Assumptions!H26+Assumptions!H28)*G33</f>
        <v>47.115000000000002</v>
      </c>
    </row>
    <row r="37" spans="1:8" x14ac:dyDescent="0.25">
      <c r="A37" t="s">
        <v>186</v>
      </c>
      <c r="B37" s="15">
        <f>Assumptions!$B$34*100*(Assumptions!C26+Assumptions!C28)*B33</f>
        <v>0</v>
      </c>
      <c r="C37" s="15">
        <f>Assumptions!$B$34*100*(Assumptions!D26+Assumptions!D28)*C33</f>
        <v>0</v>
      </c>
      <c r="D37" s="15">
        <f>Assumptions!$B$34*100*(Assumptions!E26+Assumptions!E28)*D33</f>
        <v>0</v>
      </c>
      <c r="E37" s="15">
        <f>Assumptions!$B$34*100*(Assumptions!F26+Assumptions!F28)*E33</f>
        <v>0</v>
      </c>
      <c r="F37" s="15">
        <f>Assumptions!$B$34*100*(Assumptions!G26+Assumptions!G28)*F33</f>
        <v>0</v>
      </c>
      <c r="G37" s="15">
        <f>Assumptions!$B$34*100*(Assumptions!H26+Assumptions!H28)*G33</f>
        <v>0</v>
      </c>
    </row>
    <row r="38" spans="1:8" x14ac:dyDescent="0.25">
      <c r="A38" t="s">
        <v>187</v>
      </c>
      <c r="B38" s="15">
        <f>Assumptions!$B$35*1357.3*Assumptions!C29*(1-B32)</f>
        <v>0</v>
      </c>
      <c r="C38" s="15">
        <f>Assumptions!$B$35*1357.3*Assumptions!D29*(1-C32)</f>
        <v>0</v>
      </c>
      <c r="D38" s="15">
        <f>Assumptions!$B$35*1357.3*Assumptions!E29*(1-D32)</f>
        <v>0</v>
      </c>
      <c r="E38" s="15">
        <f>Assumptions!$B$35*1357.3*Assumptions!F29*(1-E32)</f>
        <v>205.22376000000003</v>
      </c>
      <c r="F38" s="15">
        <f>Assumptions!$B$35*1357.3*Assumptions!G29*(1-F32)</f>
        <v>273.63168000000002</v>
      </c>
      <c r="G38" s="15">
        <f>Assumptions!$B$35*1357.3*Assumptions!H29*(1-G32)</f>
        <v>273.63168000000002</v>
      </c>
      <c r="H38" s="31" t="s">
        <v>194</v>
      </c>
    </row>
    <row r="39" spans="1:8" x14ac:dyDescent="0.25">
      <c r="A39" t="s">
        <v>188</v>
      </c>
      <c r="B39" s="20">
        <v>15</v>
      </c>
      <c r="C39" s="20">
        <v>8</v>
      </c>
      <c r="D39" s="20">
        <v>8</v>
      </c>
      <c r="E39" s="20">
        <v>8</v>
      </c>
      <c r="F39" s="20">
        <v>8</v>
      </c>
      <c r="G39" s="20">
        <v>8</v>
      </c>
      <c r="H39" s="9" t="s">
        <v>193</v>
      </c>
    </row>
    <row r="40" spans="1:8" x14ac:dyDescent="0.25">
      <c r="A40" t="s">
        <v>189</v>
      </c>
      <c r="B40" s="15">
        <v>2</v>
      </c>
      <c r="C40" s="15">
        <v>2</v>
      </c>
      <c r="D40" s="15">
        <v>2</v>
      </c>
      <c r="E40" s="15">
        <v>2</v>
      </c>
      <c r="F40" s="15">
        <v>2</v>
      </c>
      <c r="G40" s="15">
        <v>2</v>
      </c>
    </row>
    <row r="41" spans="1:8" x14ac:dyDescent="0.25">
      <c r="A41" s="1" t="s">
        <v>190</v>
      </c>
      <c r="B41" s="30">
        <f>SUM(B34:B39)-B40</f>
        <v>171.5766947521316</v>
      </c>
      <c r="C41" s="30">
        <f>SUM(C34:C39)-C40</f>
        <v>190.9610947521316</v>
      </c>
      <c r="D41" s="30">
        <f>SUM(D34:D39)-D40</f>
        <v>190.9610947521316</v>
      </c>
      <c r="E41" s="30">
        <f>SUM(E34:E39)-E40</f>
        <v>292.80028368803289</v>
      </c>
      <c r="F41" s="30">
        <f>SUM(F34:F39)-F40</f>
        <v>326.74668000000003</v>
      </c>
      <c r="G41" s="30">
        <f>SUM(G34:G39)-G40</f>
        <v>326.74668000000003</v>
      </c>
    </row>
    <row r="42" spans="1:8" x14ac:dyDescent="0.25">
      <c r="A42" t="s">
        <v>191</v>
      </c>
      <c r="B42" s="20">
        <f>B44-B41</f>
        <v>-11.576694752131601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9" t="s">
        <v>195</v>
      </c>
    </row>
    <row r="43" spans="1:8" x14ac:dyDescent="0.25">
      <c r="A43" s="1" t="s">
        <v>192</v>
      </c>
      <c r="B43" s="30">
        <f>B41+B42</f>
        <v>160</v>
      </c>
      <c r="C43" s="30">
        <f>C41+C42</f>
        <v>190.9610947521316</v>
      </c>
      <c r="D43" s="30">
        <f>D41+D42</f>
        <v>190.9610947521316</v>
      </c>
      <c r="E43" s="30">
        <f>E41+E42</f>
        <v>292.80028368803289</v>
      </c>
      <c r="F43" s="30">
        <f>F41+F42</f>
        <v>326.74668000000003</v>
      </c>
      <c r="G43" s="30">
        <f>G41+G42</f>
        <v>326.74668000000003</v>
      </c>
    </row>
    <row r="44" spans="1:8" x14ac:dyDescent="0.25">
      <c r="A44" t="s">
        <v>196</v>
      </c>
      <c r="B44" s="19">
        <v>160</v>
      </c>
    </row>
    <row r="45" spans="1:8" x14ac:dyDescent="0.25">
      <c r="A45" t="s">
        <v>197</v>
      </c>
      <c r="B45" s="15">
        <f>B43-B44</f>
        <v>0</v>
      </c>
    </row>
    <row r="47" spans="1:8" x14ac:dyDescent="0.25">
      <c r="A47" s="9" t="s">
        <v>198</v>
      </c>
    </row>
    <row r="48" spans="1:8" x14ac:dyDescent="0.25">
      <c r="A48" s="9" t="s">
        <v>199</v>
      </c>
    </row>
    <row r="49" spans="1:1" x14ac:dyDescent="0.25">
      <c r="A49" s="9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3013-5BFF-4859-9501-60D1A449B617}">
  <dimension ref="A1:H49"/>
  <sheetViews>
    <sheetView workbookViewId="0"/>
  </sheetViews>
  <sheetFormatPr defaultRowHeight="15" x14ac:dyDescent="0.25"/>
  <cols>
    <col min="1" max="1" width="42.7109375" customWidth="1"/>
    <col min="2" max="8" width="12.7109375" customWidth="1"/>
  </cols>
  <sheetData>
    <row r="1" spans="1:8" ht="17.25" x14ac:dyDescent="0.3">
      <c r="A1" s="6" t="s">
        <v>201</v>
      </c>
    </row>
    <row r="2" spans="1:8" x14ac:dyDescent="0.25">
      <c r="A2" s="1" t="str">
        <f>Assumptions!C3</f>
        <v>BASE CASE</v>
      </c>
    </row>
    <row r="3" spans="1:8" x14ac:dyDescent="0.25"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</row>
    <row r="5" spans="1:8" x14ac:dyDescent="0.25">
      <c r="A5" s="13" t="s">
        <v>202</v>
      </c>
      <c r="B5" s="13"/>
      <c r="C5" s="13"/>
      <c r="D5" s="13"/>
      <c r="E5" s="13"/>
      <c r="F5" s="13"/>
      <c r="G5" s="13"/>
      <c r="H5" s="13"/>
    </row>
    <row r="6" spans="1:8" x14ac:dyDescent="0.25">
      <c r="A6" t="s">
        <v>61</v>
      </c>
      <c r="B6" s="14">
        <f>Assumptions!B13</f>
        <v>5448</v>
      </c>
      <c r="C6" s="14">
        <f>Assumptions!C13</f>
        <v>5900</v>
      </c>
      <c r="D6" s="14">
        <f>Assumptions!D13</f>
        <v>6100</v>
      </c>
      <c r="E6" s="14">
        <f>Assumptions!E13</f>
        <v>6300</v>
      </c>
      <c r="F6" s="14">
        <f>Assumptions!F13</f>
        <v>6400</v>
      </c>
      <c r="G6" s="14">
        <f>Assumptions!G13</f>
        <v>6500</v>
      </c>
      <c r="H6" s="14">
        <f>Assumptions!H13</f>
        <v>6600</v>
      </c>
    </row>
    <row r="7" spans="1:8" x14ac:dyDescent="0.25">
      <c r="A7" t="s">
        <v>63</v>
      </c>
      <c r="B7" s="15">
        <f>Assumptions!B14</f>
        <v>230.9</v>
      </c>
      <c r="C7" s="15">
        <f>Assumptions!C14</f>
        <v>271</v>
      </c>
      <c r="D7" s="15">
        <f>Assumptions!D14</f>
        <v>274</v>
      </c>
      <c r="E7" s="15">
        <f>Assumptions!E14</f>
        <v>277</v>
      </c>
      <c r="F7" s="15">
        <f>Assumptions!F14</f>
        <v>280</v>
      </c>
      <c r="G7" s="15">
        <f>Assumptions!G14</f>
        <v>283</v>
      </c>
      <c r="H7" s="15">
        <f>Assumptions!H14</f>
        <v>286</v>
      </c>
    </row>
    <row r="8" spans="1:8" x14ac:dyDescent="0.25">
      <c r="A8" t="s">
        <v>203</v>
      </c>
      <c r="B8" s="30">
        <f>B6*B7/1000</f>
        <v>1257.9431999999999</v>
      </c>
      <c r="C8" s="30">
        <f>C6*C7/1000</f>
        <v>1598.9</v>
      </c>
      <c r="D8" s="30">
        <f>D6*D7/1000</f>
        <v>1671.4</v>
      </c>
      <c r="E8" s="30">
        <f>E6*E7/1000</f>
        <v>1745.1</v>
      </c>
      <c r="F8" s="30">
        <f>F6*F7/1000</f>
        <v>1792</v>
      </c>
      <c r="G8" s="30">
        <f>G6*G7/1000</f>
        <v>1839.5</v>
      </c>
      <c r="H8" s="30">
        <f>H6*H7/1000</f>
        <v>1887.6</v>
      </c>
    </row>
    <row r="9" spans="1:8" x14ac:dyDescent="0.25">
      <c r="A9" t="s">
        <v>65</v>
      </c>
      <c r="B9" s="16">
        <f>Assumptions!B15</f>
        <v>0.29399999999999998</v>
      </c>
      <c r="C9" s="16">
        <f>Assumptions!C15</f>
        <v>0.35</v>
      </c>
      <c r="D9" s="16">
        <f>Assumptions!D15</f>
        <v>0.35499999999999998</v>
      </c>
      <c r="E9" s="16">
        <f>Assumptions!E15</f>
        <v>0.35499999999999998</v>
      </c>
      <c r="F9" s="16">
        <f>Assumptions!F15</f>
        <v>0.35499999999999998</v>
      </c>
      <c r="G9" s="16">
        <f>Assumptions!G15</f>
        <v>0.35499999999999998</v>
      </c>
      <c r="H9" s="16">
        <f>Assumptions!H15</f>
        <v>0.35499999999999998</v>
      </c>
    </row>
    <row r="10" spans="1:8" x14ac:dyDescent="0.25">
      <c r="A10" t="s">
        <v>204</v>
      </c>
      <c r="B10" s="15">
        <f>B8*B9</f>
        <v>369.83530079999997</v>
      </c>
      <c r="C10" s="15">
        <f>C8*C9</f>
        <v>559.61500000000001</v>
      </c>
      <c r="D10" s="15">
        <f>D8*D9</f>
        <v>593.34699999999998</v>
      </c>
      <c r="E10" s="15">
        <f>E8*E9</f>
        <v>619.51049999999998</v>
      </c>
      <c r="F10" s="15">
        <f>F8*F9</f>
        <v>636.16</v>
      </c>
      <c r="G10" s="15">
        <f>G8*G9</f>
        <v>653.02249999999992</v>
      </c>
      <c r="H10" s="15">
        <f>H8*H9</f>
        <v>670.09799999999996</v>
      </c>
    </row>
    <row r="11" spans="1:8" x14ac:dyDescent="0.25">
      <c r="A11" t="s">
        <v>205</v>
      </c>
      <c r="B11" s="15">
        <f>-Assumptions!B16</f>
        <v>-262</v>
      </c>
      <c r="C11" s="15">
        <f>-Assumptions!C16</f>
        <v>-295</v>
      </c>
      <c r="D11" s="15">
        <f>-Assumptions!D16</f>
        <v>-305</v>
      </c>
      <c r="E11" s="15">
        <f>-Assumptions!E16</f>
        <v>-320</v>
      </c>
      <c r="F11" s="15">
        <f>-Assumptions!F16</f>
        <v>-330</v>
      </c>
      <c r="G11" s="15">
        <f>-Assumptions!G16</f>
        <v>-340</v>
      </c>
      <c r="H11" s="15">
        <f>-Assumptions!H16</f>
        <v>-350</v>
      </c>
    </row>
    <row r="12" spans="1:8" x14ac:dyDescent="0.25">
      <c r="A12" t="s">
        <v>206</v>
      </c>
      <c r="B12" s="30">
        <f>B10+B11</f>
        <v>107.83530079999997</v>
      </c>
      <c r="C12" s="30">
        <f>C10+C11</f>
        <v>264.61500000000001</v>
      </c>
      <c r="D12" s="30">
        <f>D10+D11</f>
        <v>288.34699999999998</v>
      </c>
      <c r="E12" s="30">
        <f>E10+E11</f>
        <v>299.51049999999998</v>
      </c>
      <c r="F12" s="30">
        <f>F10+F11</f>
        <v>306.15999999999997</v>
      </c>
      <c r="G12" s="30">
        <f>G10+G11</f>
        <v>313.02249999999992</v>
      </c>
      <c r="H12" s="30">
        <f>H10+H11</f>
        <v>320.09799999999996</v>
      </c>
    </row>
    <row r="13" spans="1:8" x14ac:dyDescent="0.25">
      <c r="A13" t="s">
        <v>207</v>
      </c>
      <c r="B13" s="16">
        <f>B12/B8</f>
        <v>8.572350548101057E-2</v>
      </c>
      <c r="C13" s="16">
        <f>C12/C8</f>
        <v>0.16549815498154982</v>
      </c>
      <c r="D13" s="16">
        <f>D12/D8</f>
        <v>0.17251824817518246</v>
      </c>
      <c r="E13" s="16">
        <f>E12/E8</f>
        <v>0.17162941951750615</v>
      </c>
      <c r="F13" s="16">
        <f>F12/F8</f>
        <v>0.17084821428571426</v>
      </c>
      <c r="G13" s="16">
        <f>G12/G8</f>
        <v>0.17016716499048651</v>
      </c>
      <c r="H13" s="16">
        <f>H12/H8</f>
        <v>0.16957936003390547</v>
      </c>
    </row>
    <row r="14" spans="1:8" x14ac:dyDescent="0.25">
      <c r="A14" t="s">
        <v>69</v>
      </c>
      <c r="B14" s="15">
        <f>-Assumptions!B17</f>
        <v>-297</v>
      </c>
      <c r="C14" s="15">
        <f>-Assumptions!C17</f>
        <v>-387.5</v>
      </c>
      <c r="D14" s="15">
        <f>-Assumptions!D17</f>
        <v>-390</v>
      </c>
      <c r="E14" s="15">
        <f>-Assumptions!E17</f>
        <v>-380</v>
      </c>
      <c r="F14" s="15">
        <f>-Assumptions!F17</f>
        <v>-370</v>
      </c>
      <c r="G14" s="15">
        <f>-Assumptions!G17</f>
        <v>-360</v>
      </c>
      <c r="H14" s="15">
        <f>-Assumptions!H17</f>
        <v>-350</v>
      </c>
    </row>
    <row r="15" spans="1:8" x14ac:dyDescent="0.25">
      <c r="A15" t="s">
        <v>208</v>
      </c>
      <c r="B15" s="30">
        <f>B12+B14</f>
        <v>-189.16469920000003</v>
      </c>
      <c r="C15" s="30">
        <f>C12+C14</f>
        <v>-122.88499999999999</v>
      </c>
      <c r="D15" s="30">
        <f>D12+D14</f>
        <v>-101.65300000000002</v>
      </c>
      <c r="E15" s="30">
        <f>E12+E14</f>
        <v>-80.489500000000021</v>
      </c>
      <c r="F15" s="30">
        <f>F12+F14</f>
        <v>-63.840000000000032</v>
      </c>
      <c r="G15" s="30">
        <f>G12+G14</f>
        <v>-46.977500000000077</v>
      </c>
      <c r="H15" s="30">
        <f>H12+H14</f>
        <v>-29.902000000000044</v>
      </c>
    </row>
    <row r="16" spans="1:8" x14ac:dyDescent="0.25">
      <c r="A16" t="s">
        <v>209</v>
      </c>
      <c r="B16" s="16">
        <f>B15/B8</f>
        <v>-0.15037618487066828</v>
      </c>
      <c r="C16" s="16">
        <f>C15/C8</f>
        <v>-7.6855963474888975E-2</v>
      </c>
      <c r="D16" s="16">
        <f>D15/D8</f>
        <v>-6.0819073830321896E-2</v>
      </c>
      <c r="E16" s="16">
        <f>E15/E8</f>
        <v>-4.6123144805455291E-2</v>
      </c>
      <c r="F16" s="16">
        <f>F15/F8</f>
        <v>-3.5625000000000018E-2</v>
      </c>
      <c r="G16" s="16">
        <f>G15/G8</f>
        <v>-2.553818972546892E-2</v>
      </c>
      <c r="H16" s="16">
        <f>H15/H8</f>
        <v>-1.5841279932189048E-2</v>
      </c>
    </row>
    <row r="18" spans="1:8" x14ac:dyDescent="0.25">
      <c r="A18" s="13" t="s">
        <v>210</v>
      </c>
      <c r="B18" s="13"/>
      <c r="C18" s="13"/>
      <c r="D18" s="13"/>
      <c r="E18" s="13"/>
      <c r="F18" s="13"/>
      <c r="G18" s="13"/>
      <c r="H18" s="13"/>
    </row>
    <row r="19" spans="1:8" x14ac:dyDescent="0.25">
      <c r="A19" t="s">
        <v>206</v>
      </c>
      <c r="B19" s="15">
        <f>B12</f>
        <v>107.83530079999997</v>
      </c>
      <c r="C19" s="15">
        <f>C12</f>
        <v>264.61500000000001</v>
      </c>
      <c r="D19" s="15">
        <f>D12</f>
        <v>288.34699999999998</v>
      </c>
      <c r="E19" s="15">
        <f>E12</f>
        <v>299.51049999999998</v>
      </c>
      <c r="F19" s="15">
        <f>F12</f>
        <v>306.15999999999997</v>
      </c>
      <c r="G19" s="15">
        <f>G12</f>
        <v>313.02249999999992</v>
      </c>
      <c r="H19" s="15">
        <f>H12</f>
        <v>320.09799999999996</v>
      </c>
    </row>
    <row r="20" spans="1:8" x14ac:dyDescent="0.25">
      <c r="A20" t="s">
        <v>73</v>
      </c>
      <c r="B20" s="15">
        <f>Assumptions!B19</f>
        <v>0</v>
      </c>
      <c r="C20" s="15">
        <f>Assumptions!C19</f>
        <v>-20</v>
      </c>
      <c r="D20" s="15">
        <f>Assumptions!D19</f>
        <v>-10</v>
      </c>
      <c r="E20" s="15">
        <f>Assumptions!E19</f>
        <v>-10</v>
      </c>
      <c r="F20" s="15">
        <f>Assumptions!F19</f>
        <v>-10</v>
      </c>
      <c r="G20" s="15">
        <f>Assumptions!G19</f>
        <v>-10</v>
      </c>
      <c r="H20" s="15">
        <f>Assumptions!H19</f>
        <v>-10</v>
      </c>
    </row>
    <row r="21" spans="1:8" x14ac:dyDescent="0.25">
      <c r="A21" t="s">
        <v>75</v>
      </c>
      <c r="B21" s="15">
        <f>Assumptions!B20</f>
        <v>0</v>
      </c>
      <c r="C21" s="15">
        <f>Assumptions!C20</f>
        <v>-10</v>
      </c>
      <c r="D21" s="15">
        <f>Assumptions!D20</f>
        <v>-10</v>
      </c>
      <c r="E21" s="15">
        <f>Assumptions!E20</f>
        <v>-10</v>
      </c>
      <c r="F21" s="15">
        <f>Assumptions!F20</f>
        <v>-10</v>
      </c>
      <c r="G21" s="15">
        <f>Assumptions!G20</f>
        <v>-10</v>
      </c>
      <c r="H21" s="15">
        <f>Assumptions!H20</f>
        <v>-10</v>
      </c>
    </row>
    <row r="22" spans="1:8" x14ac:dyDescent="0.25">
      <c r="A22" t="s">
        <v>77</v>
      </c>
      <c r="B22" s="15">
        <f>Assumptions!B21</f>
        <v>0</v>
      </c>
      <c r="C22" s="15">
        <f>Assumptions!C21</f>
        <v>-5</v>
      </c>
      <c r="D22" s="15">
        <f>Assumptions!D21</f>
        <v>-5</v>
      </c>
      <c r="E22" s="15">
        <f>Assumptions!E21</f>
        <v>-5</v>
      </c>
      <c r="F22" s="15">
        <f>Assumptions!F21</f>
        <v>-5</v>
      </c>
      <c r="G22" s="15">
        <f>Assumptions!G21</f>
        <v>-5</v>
      </c>
      <c r="H22" s="15">
        <f>Assumptions!H21</f>
        <v>-5</v>
      </c>
    </row>
    <row r="23" spans="1:8" x14ac:dyDescent="0.25">
      <c r="A23" t="s">
        <v>79</v>
      </c>
      <c r="B23" s="15">
        <f>Assumptions!B22</f>
        <v>0</v>
      </c>
      <c r="C23" s="15">
        <f>Assumptions!C22</f>
        <v>0</v>
      </c>
      <c r="D23" s="15">
        <f>Assumptions!D22</f>
        <v>0</v>
      </c>
      <c r="E23" s="15">
        <f>Assumptions!E22</f>
        <v>0</v>
      </c>
      <c r="F23" s="15">
        <f>Assumptions!F22</f>
        <v>0</v>
      </c>
      <c r="G23" s="15">
        <f>Assumptions!G22</f>
        <v>0</v>
      </c>
      <c r="H23" s="15">
        <f>Assumptions!H22</f>
        <v>0</v>
      </c>
    </row>
    <row r="24" spans="1:8" x14ac:dyDescent="0.25">
      <c r="A24" t="s">
        <v>211</v>
      </c>
      <c r="B24" s="20">
        <v>-105</v>
      </c>
      <c r="C24" s="15">
        <f>-Debt!B43</f>
        <v>-160</v>
      </c>
      <c r="D24" s="15">
        <f>-Debt!C43</f>
        <v>-190.9610947521316</v>
      </c>
      <c r="E24" s="15">
        <f>-Debt!D43</f>
        <v>-190.9610947521316</v>
      </c>
      <c r="F24" s="15">
        <f>-Debt!E43</f>
        <v>-292.80028368803289</v>
      </c>
      <c r="G24" s="15">
        <f>-Debt!F43</f>
        <v>-326.74668000000003</v>
      </c>
      <c r="H24" s="15">
        <f>-Debt!G43</f>
        <v>-326.74668000000003</v>
      </c>
    </row>
    <row r="25" spans="1:8" x14ac:dyDescent="0.25">
      <c r="A25" t="s">
        <v>71</v>
      </c>
      <c r="B25" s="15">
        <f>-Assumptions!B18</f>
        <v>-341</v>
      </c>
      <c r="C25" s="15">
        <f>-Assumptions!C18</f>
        <v>-300</v>
      </c>
      <c r="D25" s="15">
        <f>-Assumptions!D18</f>
        <v>-350</v>
      </c>
      <c r="E25" s="15">
        <f>-Assumptions!E18</f>
        <v>-350</v>
      </c>
      <c r="F25" s="15">
        <f>-Assumptions!F18</f>
        <v>-350</v>
      </c>
      <c r="G25" s="15">
        <f>-Assumptions!G18</f>
        <v>-350</v>
      </c>
      <c r="H25" s="15">
        <f>-Assumptions!H18</f>
        <v>-300</v>
      </c>
    </row>
    <row r="26" spans="1:8" x14ac:dyDescent="0.25">
      <c r="A26" t="s">
        <v>210</v>
      </c>
      <c r="B26" s="35">
        <v>-410</v>
      </c>
      <c r="C26" s="30">
        <f>SUM(C19:C25)</f>
        <v>-230.38499999999999</v>
      </c>
      <c r="D26" s="30">
        <f>SUM(D19:D25)</f>
        <v>-277.61409475213162</v>
      </c>
      <c r="E26" s="30">
        <f>SUM(E19:E25)</f>
        <v>-266.45059475213162</v>
      </c>
      <c r="F26" s="30">
        <f>SUM(F19:F25)</f>
        <v>-361.64028368803292</v>
      </c>
      <c r="G26" s="30">
        <f>SUM(G19:G25)</f>
        <v>-388.7241800000001</v>
      </c>
      <c r="H26" s="30">
        <f>SUM(H19:H25)</f>
        <v>-331.64868000000007</v>
      </c>
    </row>
    <row r="27" spans="1:8" x14ac:dyDescent="0.25">
      <c r="A27" s="9" t="s">
        <v>212</v>
      </c>
    </row>
    <row r="29" spans="1:8" x14ac:dyDescent="0.25">
      <c r="A29" s="13" t="s">
        <v>213</v>
      </c>
      <c r="B29" s="13"/>
      <c r="C29" s="13"/>
      <c r="D29" s="13"/>
      <c r="E29" s="13"/>
      <c r="F29" s="13"/>
      <c r="G29" s="13"/>
      <c r="H29" s="13"/>
    </row>
    <row r="30" spans="1:8" x14ac:dyDescent="0.25">
      <c r="A30" t="s">
        <v>214</v>
      </c>
      <c r="B30" s="19">
        <v>249.9</v>
      </c>
      <c r="C30" s="19">
        <v>249.9</v>
      </c>
      <c r="D30" s="15">
        <f>C36</f>
        <v>307.315</v>
      </c>
      <c r="E30" s="15">
        <f>D36</f>
        <v>29.700905247868377</v>
      </c>
      <c r="F30" s="15">
        <f>E36</f>
        <v>-236.74968950426324</v>
      </c>
      <c r="G30" s="15">
        <f>F36</f>
        <v>-598.38997319229611</v>
      </c>
      <c r="H30" s="15">
        <f>G36</f>
        <v>-987.11415319229627</v>
      </c>
    </row>
    <row r="31" spans="1:8" x14ac:dyDescent="0.25">
      <c r="A31" t="s">
        <v>215</v>
      </c>
      <c r="C31" s="15">
        <f>C26</f>
        <v>-230.38499999999999</v>
      </c>
      <c r="D31" s="15">
        <f>D26</f>
        <v>-277.61409475213162</v>
      </c>
      <c r="E31" s="15">
        <f>E26</f>
        <v>-266.45059475213162</v>
      </c>
      <c r="F31" s="15">
        <f>F26</f>
        <v>-361.64028368803292</v>
      </c>
      <c r="G31" s="15">
        <f>G26</f>
        <v>-388.7241800000001</v>
      </c>
      <c r="H31" s="15">
        <f>H26</f>
        <v>-331.64868000000007</v>
      </c>
    </row>
    <row r="32" spans="1:8" x14ac:dyDescent="0.25">
      <c r="A32" t="s">
        <v>216</v>
      </c>
      <c r="C32" s="15">
        <f>450+Assumptions!$B$34*100-163-20-Assumptions!$B$33</f>
        <v>227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x14ac:dyDescent="0.25">
      <c r="A33" t="s">
        <v>217</v>
      </c>
      <c r="C33" s="19">
        <v>60.8</v>
      </c>
      <c r="D33" s="15">
        <v>0</v>
      </c>
      <c r="E33" s="15">
        <v>0</v>
      </c>
      <c r="F33" s="15">
        <v>0</v>
      </c>
      <c r="G33" s="15">
        <v>0</v>
      </c>
      <c r="H33" s="37">
        <v>0</v>
      </c>
    </row>
    <row r="34" spans="1:8" x14ac:dyDescent="0.25">
      <c r="A34" t="s">
        <v>218</v>
      </c>
      <c r="C34" s="15">
        <v>0</v>
      </c>
      <c r="D34" s="15">
        <v>0</v>
      </c>
      <c r="E34" s="15">
        <v>0</v>
      </c>
      <c r="F34" s="15">
        <v>-1357.3</v>
      </c>
      <c r="G34" s="15">
        <v>0</v>
      </c>
      <c r="H34" s="15">
        <v>0</v>
      </c>
    </row>
    <row r="35" spans="1:8" x14ac:dyDescent="0.25">
      <c r="A35" t="s">
        <v>219</v>
      </c>
      <c r="C35" s="15">
        <v>0</v>
      </c>
      <c r="D35" s="15">
        <v>0</v>
      </c>
      <c r="E35" s="15">
        <v>0</v>
      </c>
      <c r="F35" s="15">
        <f>Assumptions!$B$35*1357.3</f>
        <v>1357.3</v>
      </c>
      <c r="G35" s="15">
        <v>0</v>
      </c>
      <c r="H35" s="15">
        <v>0</v>
      </c>
    </row>
    <row r="36" spans="1:8" x14ac:dyDescent="0.25">
      <c r="A36" t="s">
        <v>220</v>
      </c>
      <c r="B36" s="19">
        <v>249.9</v>
      </c>
      <c r="C36" s="30">
        <f>SUM(C30:C35)</f>
        <v>307.315</v>
      </c>
      <c r="D36" s="30">
        <f>SUM(D30:D35)</f>
        <v>29.700905247868377</v>
      </c>
      <c r="E36" s="30">
        <f>SUM(E30:E35)</f>
        <v>-236.74968950426324</v>
      </c>
      <c r="F36" s="30">
        <f>SUM(F30:F35)</f>
        <v>-598.38997319229611</v>
      </c>
      <c r="G36" s="30">
        <f>SUM(G30:G35)</f>
        <v>-987.11415319229627</v>
      </c>
      <c r="H36" s="30">
        <f>SUM(H30:H35)</f>
        <v>-1318.7628331922963</v>
      </c>
    </row>
    <row r="37" spans="1:8" x14ac:dyDescent="0.25">
      <c r="A37" t="s">
        <v>170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</row>
    <row r="38" spans="1:8" x14ac:dyDescent="0.25">
      <c r="A38" t="s">
        <v>221</v>
      </c>
      <c r="B38" s="19">
        <v>250</v>
      </c>
      <c r="C38" s="30">
        <f>C36+C37</f>
        <v>307.315</v>
      </c>
      <c r="D38" s="30">
        <f>D36+D37</f>
        <v>29.700905247868377</v>
      </c>
      <c r="E38" s="30">
        <f>E36+E37</f>
        <v>-236.74968950426324</v>
      </c>
      <c r="F38" s="30">
        <f>F36+F37</f>
        <v>-598.38997319229611</v>
      </c>
      <c r="G38" s="30">
        <f>G36+G37</f>
        <v>-987.11415319229627</v>
      </c>
      <c r="H38" s="30">
        <f>H36+H37</f>
        <v>-1318.7628331922963</v>
      </c>
    </row>
    <row r="39" spans="1:8" x14ac:dyDescent="0.25">
      <c r="A39" t="s">
        <v>222</v>
      </c>
      <c r="C39" s="15">
        <f>(1-Assumptions!$B$34)*100</f>
        <v>100</v>
      </c>
      <c r="D39" s="15">
        <f>(1-Assumptions!$B$34)*100</f>
        <v>100</v>
      </c>
      <c r="E39" s="15">
        <f>(1-Assumptions!$B$34)*100</f>
        <v>100</v>
      </c>
      <c r="F39" s="15">
        <f>(1-Assumptions!$B$34)*100</f>
        <v>100</v>
      </c>
      <c r="G39" s="15">
        <f>(1-Assumptions!$B$34)*100</f>
        <v>100</v>
      </c>
      <c r="H39" s="15">
        <f>(1-Assumptions!$B$34)*100</f>
        <v>100</v>
      </c>
    </row>
    <row r="40" spans="1:8" x14ac:dyDescent="0.25">
      <c r="A40" t="s">
        <v>161</v>
      </c>
      <c r="C40" s="15">
        <f>Debt!$D$14</f>
        <v>1942.6</v>
      </c>
      <c r="D40" s="15">
        <f>C40+D34+D35</f>
        <v>1942.6</v>
      </c>
      <c r="E40" s="15">
        <f>D40+E34+E35</f>
        <v>1942.6</v>
      </c>
      <c r="F40" s="15">
        <f>E40+F34+F35</f>
        <v>1942.6</v>
      </c>
      <c r="G40" s="15">
        <f>F40+G34+G35</f>
        <v>1942.6</v>
      </c>
      <c r="H40" s="15">
        <f>G40+H34+H35</f>
        <v>1942.6</v>
      </c>
    </row>
    <row r="41" spans="1:8" x14ac:dyDescent="0.25">
      <c r="A41" t="s">
        <v>223</v>
      </c>
      <c r="C41" s="30">
        <f>C40-C36-1.5</f>
        <v>1633.7849999999999</v>
      </c>
      <c r="D41" s="30">
        <f>D40-D36-1.5</f>
        <v>1911.3990947521315</v>
      </c>
      <c r="E41" s="30">
        <f>E40-E36-1.5</f>
        <v>2177.8496895042631</v>
      </c>
      <c r="F41" s="30">
        <f>F40-F36-1.5</f>
        <v>2539.489973192296</v>
      </c>
      <c r="G41" s="30">
        <f>G40-G36-1.5</f>
        <v>2928.2141531922962</v>
      </c>
      <c r="H41" s="30">
        <f>H40-H36-1.5</f>
        <v>3259.8628331922964</v>
      </c>
    </row>
    <row r="42" spans="1:8" x14ac:dyDescent="0.25">
      <c r="A42" t="s">
        <v>224</v>
      </c>
      <c r="C42" s="36">
        <f>IF(C12&gt;0,C41/C12,"n.m.")</f>
        <v>6.1741964741227813</v>
      </c>
      <c r="D42" s="36">
        <f>IF(D12&gt;0,D41/D12,"n.m.")</f>
        <v>6.6288156101923432</v>
      </c>
      <c r="E42" s="36">
        <f>IF(E12&gt;0,E41/E12,"n.m.")</f>
        <v>7.2713634063054995</v>
      </c>
      <c r="F42" s="36">
        <f>IF(F12&gt;0,F41/F12,"n.m.")</f>
        <v>8.2946497687232039</v>
      </c>
      <c r="G42" s="36">
        <f>IF(G12&gt;0,G41/G12,"n.m.")</f>
        <v>9.3546443249041111</v>
      </c>
      <c r="H42" s="36">
        <f>IF(H12&gt;0,H41/H12,"n.m.")</f>
        <v>10.183952518267208</v>
      </c>
    </row>
    <row r="43" spans="1:8" x14ac:dyDescent="0.25">
      <c r="A43" t="s">
        <v>225</v>
      </c>
      <c r="C43" s="36">
        <f>IF(-C24&gt;0,C12/-C24,"n.m.")</f>
        <v>1.6538437500000001</v>
      </c>
      <c r="D43" s="36">
        <f>IF(-D24&gt;0,D12/-D24,"n.m.")</f>
        <v>1.5099777280512334</v>
      </c>
      <c r="E43" s="36">
        <f>IF(-E24&gt;0,E12/-E24,"n.m.")</f>
        <v>1.5684372797965263</v>
      </c>
      <c r="F43" s="36">
        <f>IF(-F24&gt;0,F12/-F24,"n.m.")</f>
        <v>1.04562740221318</v>
      </c>
      <c r="G43" s="36">
        <f>IF(-G24&gt;0,G12/-G24,"n.m.")</f>
        <v>0.95799749212447971</v>
      </c>
      <c r="H43" s="36">
        <f>IF(-H24&gt;0,H12/-H24,"n.m.")</f>
        <v>0.97965188200228981</v>
      </c>
    </row>
    <row r="44" spans="1:8" x14ac:dyDescent="0.25">
      <c r="A44" t="s">
        <v>226</v>
      </c>
      <c r="C44" s="15">
        <f>C38-Assumptions!$B$36</f>
        <v>207.315</v>
      </c>
      <c r="D44" s="15">
        <f>D38-Assumptions!$B$36</f>
        <v>-70.299094752131623</v>
      </c>
      <c r="E44" s="15">
        <f>E38-Assumptions!$B$36</f>
        <v>-336.74968950426324</v>
      </c>
      <c r="F44" s="15">
        <f>F38-Assumptions!$B$36</f>
        <v>-698.38997319229611</v>
      </c>
      <c r="G44" s="15">
        <f>G38-Assumptions!$B$36</f>
        <v>-1087.1141531922963</v>
      </c>
      <c r="H44" s="15">
        <f>H38-Assumptions!$B$36</f>
        <v>-1418.7628331922963</v>
      </c>
    </row>
    <row r="45" spans="1:8" x14ac:dyDescent="0.25">
      <c r="A45" s="1" t="s">
        <v>227</v>
      </c>
      <c r="C45" s="38">
        <f>-MIN(0,C38)</f>
        <v>0</v>
      </c>
      <c r="D45" s="38">
        <f>-MIN(0,D38)</f>
        <v>0</v>
      </c>
      <c r="E45" s="38">
        <f>-MIN(0,E38)</f>
        <v>236.74968950426324</v>
      </c>
      <c r="F45" s="38">
        <f>-MIN(0,F38)</f>
        <v>598.38997319229611</v>
      </c>
      <c r="G45" s="38">
        <f>-MIN(0,G38)</f>
        <v>987.11415319229627</v>
      </c>
      <c r="H45" s="38">
        <f>-MIN(0,H38)</f>
        <v>1318.7628331922963</v>
      </c>
    </row>
    <row r="47" spans="1:8" x14ac:dyDescent="0.25">
      <c r="A47" s="9" t="s">
        <v>228</v>
      </c>
    </row>
    <row r="48" spans="1:8" x14ac:dyDescent="0.25">
      <c r="A48" s="31" t="s">
        <v>229</v>
      </c>
    </row>
    <row r="49" spans="1:1" x14ac:dyDescent="0.25">
      <c r="A49" s="39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FF2C-0BC8-4C71-A58F-23DF4D795982}">
  <dimension ref="A1:H53"/>
  <sheetViews>
    <sheetView workbookViewId="0"/>
  </sheetViews>
  <sheetFormatPr defaultRowHeight="15" x14ac:dyDescent="0.25"/>
  <cols>
    <col min="1" max="1" width="46.7109375" customWidth="1"/>
    <col min="2" max="8" width="13.7109375" customWidth="1"/>
  </cols>
  <sheetData>
    <row r="1" spans="1:8" ht="17.25" x14ac:dyDescent="0.3">
      <c r="A1" s="6" t="s">
        <v>231</v>
      </c>
    </row>
    <row r="2" spans="1:8" x14ac:dyDescent="0.25">
      <c r="A2" s="1" t="str">
        <f>Assumptions!C3</f>
        <v>BASE CASE</v>
      </c>
    </row>
    <row r="3" spans="1:8" x14ac:dyDescent="0.25">
      <c r="A3" s="5" t="s">
        <v>232</v>
      </c>
    </row>
    <row r="4" spans="1:8" x14ac:dyDescent="0.25">
      <c r="A4" s="5" t="s">
        <v>233</v>
      </c>
    </row>
    <row r="5" spans="1:8" x14ac:dyDescent="0.25"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</row>
    <row r="6" spans="1:8" x14ac:dyDescent="0.25">
      <c r="A6" t="s">
        <v>203</v>
      </c>
      <c r="B6" s="15">
        <f>Model!B8</f>
        <v>1257.9431999999999</v>
      </c>
      <c r="C6" s="15">
        <f>Model!C8</f>
        <v>1598.9</v>
      </c>
      <c r="D6" s="15">
        <f>Model!D8</f>
        <v>1671.4</v>
      </c>
      <c r="E6" s="15">
        <f>Model!E8</f>
        <v>1745.1</v>
      </c>
      <c r="F6" s="15">
        <f>Model!F8</f>
        <v>1792</v>
      </c>
      <c r="G6" s="15">
        <f>Model!G8</f>
        <v>1839.5</v>
      </c>
      <c r="H6" s="15">
        <f>Model!H8</f>
        <v>1887.6</v>
      </c>
    </row>
    <row r="7" spans="1:8" x14ac:dyDescent="0.25">
      <c r="A7" t="s">
        <v>206</v>
      </c>
      <c r="B7" s="15">
        <f>Model!B12</f>
        <v>107.83530079999997</v>
      </c>
      <c r="C7" s="15">
        <f>Model!C12</f>
        <v>264.61500000000001</v>
      </c>
      <c r="D7" s="15">
        <f>Model!D12</f>
        <v>288.34699999999998</v>
      </c>
      <c r="E7" s="15">
        <f>Model!E12</f>
        <v>299.51049999999998</v>
      </c>
      <c r="F7" s="15">
        <f>Model!F12</f>
        <v>306.15999999999997</v>
      </c>
      <c r="G7" s="15">
        <f>Model!G12</f>
        <v>313.02249999999992</v>
      </c>
      <c r="H7" s="15">
        <f>Model!H12</f>
        <v>320.09799999999996</v>
      </c>
    </row>
    <row r="8" spans="1:8" x14ac:dyDescent="0.25">
      <c r="A8" t="s">
        <v>208</v>
      </c>
      <c r="B8" s="15">
        <f>Model!B15</f>
        <v>-189.16469920000003</v>
      </c>
      <c r="C8" s="15">
        <f>Model!C15</f>
        <v>-122.88499999999999</v>
      </c>
      <c r="D8" s="15">
        <f>Model!D15</f>
        <v>-101.65300000000002</v>
      </c>
      <c r="E8" s="15">
        <f>Model!E15</f>
        <v>-80.489500000000021</v>
      </c>
      <c r="F8" s="15">
        <f>Model!F15</f>
        <v>-63.840000000000032</v>
      </c>
      <c r="G8" s="15">
        <f>Model!G15</f>
        <v>-46.977500000000077</v>
      </c>
      <c r="H8" s="15">
        <f>Model!H15</f>
        <v>-29.902000000000044</v>
      </c>
    </row>
    <row r="9" spans="1:8" x14ac:dyDescent="0.25">
      <c r="A9" t="s">
        <v>215</v>
      </c>
      <c r="B9" s="15">
        <f>Model!B26</f>
        <v>-410</v>
      </c>
      <c r="C9" s="15">
        <f>Model!C26</f>
        <v>-230.38499999999999</v>
      </c>
      <c r="D9" s="15">
        <f>Model!D26</f>
        <v>-277.61409475213162</v>
      </c>
      <c r="E9" s="15">
        <f>Model!E26</f>
        <v>-266.45059475213162</v>
      </c>
      <c r="F9" s="15">
        <f>Model!F26</f>
        <v>-361.64028368803292</v>
      </c>
      <c r="G9" s="15">
        <f>Model!G26</f>
        <v>-388.7241800000001</v>
      </c>
      <c r="H9" s="15">
        <f>Model!H26</f>
        <v>-331.64868000000007</v>
      </c>
    </row>
    <row r="10" spans="1:8" x14ac:dyDescent="0.25">
      <c r="A10" t="s">
        <v>234</v>
      </c>
      <c r="B10" s="15">
        <f>Model!B24</f>
        <v>-105</v>
      </c>
      <c r="C10" s="15">
        <f>Model!C24</f>
        <v>-160</v>
      </c>
      <c r="D10" s="15">
        <f>Model!D24</f>
        <v>-190.9610947521316</v>
      </c>
      <c r="E10" s="15">
        <f>Model!E24</f>
        <v>-190.9610947521316</v>
      </c>
      <c r="F10" s="15">
        <f>Model!F24</f>
        <v>-292.80028368803289</v>
      </c>
      <c r="G10" s="15">
        <f>Model!G24</f>
        <v>-326.74668000000003</v>
      </c>
      <c r="H10" s="15">
        <f>Model!H24</f>
        <v>-326.74668000000003</v>
      </c>
    </row>
    <row r="11" spans="1:8" x14ac:dyDescent="0.25">
      <c r="A11" t="s">
        <v>161</v>
      </c>
      <c r="B11" s="15">
        <f>Model!B40</f>
        <v>0</v>
      </c>
      <c r="C11" s="15">
        <f>Model!C40</f>
        <v>1942.6</v>
      </c>
      <c r="D11" s="15">
        <f>Model!D40</f>
        <v>1942.6</v>
      </c>
      <c r="E11" s="15">
        <f>Model!E40</f>
        <v>1942.6</v>
      </c>
      <c r="F11" s="15">
        <f>Model!F40</f>
        <v>1942.6</v>
      </c>
      <c r="G11" s="15">
        <f>Model!G40</f>
        <v>1942.6</v>
      </c>
      <c r="H11" s="15">
        <f>Model!H40</f>
        <v>1942.6</v>
      </c>
    </row>
    <row r="12" spans="1:8" x14ac:dyDescent="0.25">
      <c r="A12" t="s">
        <v>223</v>
      </c>
      <c r="B12" s="15">
        <f>Model!B41</f>
        <v>0</v>
      </c>
      <c r="C12" s="15">
        <f>Model!C41</f>
        <v>1633.7849999999999</v>
      </c>
      <c r="D12" s="15">
        <f>Model!D41</f>
        <v>1911.3990947521315</v>
      </c>
      <c r="E12" s="15">
        <f>Model!E41</f>
        <v>2177.8496895042631</v>
      </c>
      <c r="F12" s="15">
        <f>Model!F41</f>
        <v>2539.489973192296</v>
      </c>
      <c r="G12" s="15">
        <f>Model!G41</f>
        <v>2928.2141531922962</v>
      </c>
      <c r="H12" s="15">
        <f>Model!H41</f>
        <v>3259.8628331922964</v>
      </c>
    </row>
    <row r="13" spans="1:8" x14ac:dyDescent="0.25">
      <c r="A13" t="s">
        <v>235</v>
      </c>
      <c r="B13" s="36">
        <f>Model!B42</f>
        <v>0</v>
      </c>
      <c r="C13" s="36">
        <f>Model!C42</f>
        <v>6.1741964741227813</v>
      </c>
      <c r="D13" s="36">
        <f>Model!D42</f>
        <v>6.6288156101923432</v>
      </c>
      <c r="E13" s="36">
        <f>Model!E42</f>
        <v>7.2713634063054995</v>
      </c>
      <c r="F13" s="36">
        <f>Model!F42</f>
        <v>8.2946497687232039</v>
      </c>
      <c r="G13" s="36">
        <f>Model!G42</f>
        <v>9.3546443249041111</v>
      </c>
      <c r="H13" s="36">
        <f>Model!H42</f>
        <v>10.183952518267208</v>
      </c>
    </row>
    <row r="14" spans="1:8" x14ac:dyDescent="0.25">
      <c r="A14" t="s">
        <v>236</v>
      </c>
      <c r="B14" s="36">
        <f>Model!B43</f>
        <v>0</v>
      </c>
      <c r="C14" s="36">
        <f>Model!C43</f>
        <v>1.6538437500000001</v>
      </c>
      <c r="D14" s="36">
        <f>Model!D43</f>
        <v>1.5099777280512334</v>
      </c>
      <c r="E14" s="36">
        <f>Model!E43</f>
        <v>1.5684372797965263</v>
      </c>
      <c r="F14" s="36">
        <f>Model!F43</f>
        <v>1.04562740221318</v>
      </c>
      <c r="G14" s="36">
        <f>Model!G43</f>
        <v>0.95799749212447971</v>
      </c>
      <c r="H14" s="36">
        <f>Model!H43</f>
        <v>0.97965188200228981</v>
      </c>
    </row>
    <row r="15" spans="1:8" x14ac:dyDescent="0.25">
      <c r="A15" t="s">
        <v>237</v>
      </c>
      <c r="B15" s="15">
        <f>Model!B38</f>
        <v>250</v>
      </c>
      <c r="C15" s="15">
        <f>Model!C38</f>
        <v>307.315</v>
      </c>
      <c r="D15" s="15">
        <f>Model!D38</f>
        <v>29.700905247868377</v>
      </c>
      <c r="E15" s="15">
        <f>Model!E38</f>
        <v>-236.74968950426324</v>
      </c>
      <c r="F15" s="15">
        <f>Model!F38</f>
        <v>-598.38997319229611</v>
      </c>
      <c r="G15" s="15">
        <f>Model!G38</f>
        <v>-987.11415319229627</v>
      </c>
      <c r="H15" s="15">
        <f>Model!H38</f>
        <v>-1318.7628331922963</v>
      </c>
    </row>
    <row r="16" spans="1:8" x14ac:dyDescent="0.25">
      <c r="A16" t="s">
        <v>226</v>
      </c>
      <c r="B16" s="15">
        <f>Model!B44</f>
        <v>0</v>
      </c>
      <c r="C16" s="15">
        <f>Model!C44</f>
        <v>207.315</v>
      </c>
      <c r="D16" s="15">
        <f>Model!D44</f>
        <v>-70.299094752131623</v>
      </c>
      <c r="E16" s="15">
        <f>Model!E44</f>
        <v>-336.74968950426324</v>
      </c>
      <c r="F16" s="15">
        <f>Model!F44</f>
        <v>-698.38997319229611</v>
      </c>
      <c r="G16" s="15">
        <f>Model!G44</f>
        <v>-1087.1141531922963</v>
      </c>
      <c r="H16" s="15">
        <f>Model!H44</f>
        <v>-1418.7628331922963</v>
      </c>
    </row>
    <row r="17" spans="1:8" x14ac:dyDescent="0.25">
      <c r="A17" t="s">
        <v>238</v>
      </c>
      <c r="B17" s="15">
        <f>Model!B39</f>
        <v>0</v>
      </c>
      <c r="C17" s="15">
        <f>Model!C39</f>
        <v>100</v>
      </c>
      <c r="D17" s="15">
        <f>Model!D39</f>
        <v>100</v>
      </c>
      <c r="E17" s="15">
        <f>Model!E39</f>
        <v>100</v>
      </c>
      <c r="F17" s="15">
        <f>Model!F39</f>
        <v>100</v>
      </c>
      <c r="G17" s="15">
        <f>Model!G39</f>
        <v>100</v>
      </c>
      <c r="H17" s="15">
        <f>Model!H39</f>
        <v>100</v>
      </c>
    </row>
    <row r="19" spans="1:8" x14ac:dyDescent="0.25">
      <c r="A19" s="1" t="s">
        <v>239</v>
      </c>
    </row>
    <row r="20" spans="1:8" x14ac:dyDescent="0.25">
      <c r="A20" t="s">
        <v>240</v>
      </c>
      <c r="B20" s="1" t="str">
        <f>IFERROR(INDEX($C$5:$H$5,MATCH(TRUE,INDEX($C$16:$H$16&lt;0,0),0)),"No breach through FY2031")</f>
        <v>FY2027E</v>
      </c>
    </row>
    <row r="21" spans="1:8" x14ac:dyDescent="0.25">
      <c r="A21" t="s">
        <v>241</v>
      </c>
      <c r="B21" s="1" t="str">
        <f>IFERROR(INDEX($C$5:$H$5,MATCH(TRUE,INDEX($C$15:$H$15&lt;0,0),0)),"Positive through FY2031")</f>
        <v>FY2028E</v>
      </c>
    </row>
    <row r="22" spans="1:8" x14ac:dyDescent="0.25">
      <c r="A22" t="s">
        <v>242</v>
      </c>
      <c r="B22" s="30">
        <v>1357.3</v>
      </c>
    </row>
    <row r="23" spans="1:8" x14ac:dyDescent="0.25">
      <c r="A23" t="s">
        <v>243</v>
      </c>
      <c r="B23" s="30">
        <f>-(Model!D24-Model!C24)</f>
        <v>30.961094752131601</v>
      </c>
    </row>
    <row r="24" spans="1:8" x14ac:dyDescent="0.25">
      <c r="A24" t="s">
        <v>244</v>
      </c>
      <c r="B24" s="30">
        <f>SUM(Model!D26:H26)</f>
        <v>-1626.0778331922963</v>
      </c>
    </row>
    <row r="25" spans="1:8" x14ac:dyDescent="0.25">
      <c r="A25" t="s">
        <v>245</v>
      </c>
      <c r="B25" s="38">
        <f>MAX(Model!C45:H45)</f>
        <v>1318.7628331922963</v>
      </c>
    </row>
    <row r="26" spans="1:8" x14ac:dyDescent="0.25">
      <c r="A26" t="s">
        <v>246</v>
      </c>
      <c r="B26" s="30">
        <f>Debt!D24</f>
        <v>341.9</v>
      </c>
    </row>
    <row r="27" spans="1:8" x14ac:dyDescent="0.25">
      <c r="A27" t="s">
        <v>247</v>
      </c>
      <c r="B27" s="1" t="s">
        <v>248</v>
      </c>
    </row>
    <row r="28" spans="1:8" x14ac:dyDescent="0.25">
      <c r="A28" s="13" t="s">
        <v>249</v>
      </c>
      <c r="B28" s="13"/>
      <c r="C28" s="13"/>
      <c r="D28" s="13"/>
      <c r="E28" s="13"/>
      <c r="F28" s="13"/>
      <c r="G28" s="13"/>
      <c r="H28" s="13"/>
    </row>
    <row r="29" spans="1:8" x14ac:dyDescent="0.25">
      <c r="A29" s="1" t="s">
        <v>250</v>
      </c>
      <c r="B29" s="1" t="s">
        <v>251</v>
      </c>
      <c r="C29" s="1" t="s">
        <v>252</v>
      </c>
    </row>
    <row r="30" spans="1:8" x14ac:dyDescent="0.25">
      <c r="A30" s="26">
        <v>75</v>
      </c>
      <c r="B30" s="1" t="str">
        <f>IFERROR(INDEX($C$5:$H$5,MATCH(TRUE,INDEX(Model!$C$38:$H$38&lt;A30,0),0)),"No breach to FY2031")</f>
        <v>FY2027E</v>
      </c>
      <c r="C30" s="15">
        <f>Model!D38-A30</f>
        <v>-45.299094752131623</v>
      </c>
    </row>
    <row r="31" spans="1:8" x14ac:dyDescent="0.25">
      <c r="A31" s="26">
        <v>100</v>
      </c>
      <c r="B31" s="1" t="str">
        <f>IFERROR(INDEX($C$5:$H$5,MATCH(TRUE,INDEX(Model!$C$38:$H$38&lt;A31,0),0)),"No breach to FY2031")</f>
        <v>FY2027E</v>
      </c>
      <c r="C31" s="15">
        <f>Model!D38-A31</f>
        <v>-70.299094752131623</v>
      </c>
    </row>
    <row r="32" spans="1:8" x14ac:dyDescent="0.25">
      <c r="A32" s="26">
        <v>125</v>
      </c>
      <c r="B32" s="1" t="str">
        <f>IFERROR(INDEX($C$5:$H$5,MATCH(TRUE,INDEX(Model!$C$38:$H$38&lt;A32,0),0)),"No breach to FY2031")</f>
        <v>FY2027E</v>
      </c>
      <c r="C32" s="15">
        <f>Model!D38-A32</f>
        <v>-95.299094752131623</v>
      </c>
    </row>
    <row r="34" spans="1:8" x14ac:dyDescent="0.25">
      <c r="A34" s="31" t="s">
        <v>253</v>
      </c>
    </row>
    <row r="35" spans="1:8" x14ac:dyDescent="0.25">
      <c r="A35" s="9" t="s">
        <v>254</v>
      </c>
    </row>
    <row r="36" spans="1:8" x14ac:dyDescent="0.25">
      <c r="A36" s="9" t="s">
        <v>255</v>
      </c>
    </row>
    <row r="38" spans="1:8" x14ac:dyDescent="0.25">
      <c r="A38" s="13" t="s">
        <v>256</v>
      </c>
      <c r="B38" s="13"/>
      <c r="C38" s="13"/>
      <c r="D38" s="13"/>
      <c r="E38" s="13"/>
      <c r="F38" s="13"/>
      <c r="G38" s="13"/>
      <c r="H38" s="13"/>
    </row>
    <row r="39" spans="1:8" x14ac:dyDescent="0.25">
      <c r="A39" s="1" t="s">
        <v>257</v>
      </c>
      <c r="B39" s="1" t="s">
        <v>258</v>
      </c>
      <c r="C39" s="1" t="s">
        <v>259</v>
      </c>
      <c r="D39" s="1" t="s">
        <v>260</v>
      </c>
    </row>
    <row r="40" spans="1:8" x14ac:dyDescent="0.25">
      <c r="A40" t="s">
        <v>261</v>
      </c>
      <c r="B40" s="40">
        <v>1671.4</v>
      </c>
      <c r="C40" s="40">
        <v>1357.8</v>
      </c>
      <c r="D40" t="s">
        <v>262</v>
      </c>
    </row>
    <row r="41" spans="1:8" x14ac:dyDescent="0.25">
      <c r="A41" t="s">
        <v>263</v>
      </c>
      <c r="B41">
        <v>288.3</v>
      </c>
      <c r="C41">
        <v>129.5</v>
      </c>
      <c r="D41" t="s">
        <v>264</v>
      </c>
    </row>
    <row r="42" spans="1:8" x14ac:dyDescent="0.25">
      <c r="A42" t="s">
        <v>265</v>
      </c>
      <c r="B42" t="s">
        <v>266</v>
      </c>
      <c r="C42" t="s">
        <v>267</v>
      </c>
      <c r="D42" t="s">
        <v>268</v>
      </c>
    </row>
    <row r="43" spans="1:8" x14ac:dyDescent="0.25">
      <c r="A43" t="s">
        <v>269</v>
      </c>
      <c r="B43">
        <v>-277.60000000000002</v>
      </c>
      <c r="C43">
        <v>-455.4</v>
      </c>
      <c r="D43">
        <v>-177.8</v>
      </c>
    </row>
    <row r="44" spans="1:8" x14ac:dyDescent="0.25">
      <c r="A44" t="s">
        <v>270</v>
      </c>
      <c r="B44" t="s">
        <v>271</v>
      </c>
      <c r="C44" t="s">
        <v>271</v>
      </c>
      <c r="D44" t="s">
        <v>272</v>
      </c>
    </row>
    <row r="45" spans="1:8" x14ac:dyDescent="0.25">
      <c r="A45" s="1" t="s">
        <v>273</v>
      </c>
      <c r="B45" s="1" t="s">
        <v>274</v>
      </c>
      <c r="C45" s="1" t="s">
        <v>271</v>
      </c>
      <c r="D45" s="1" t="s">
        <v>275</v>
      </c>
    </row>
    <row r="46" spans="1:8" x14ac:dyDescent="0.25">
      <c r="A46" t="s">
        <v>276</v>
      </c>
      <c r="B46" s="40">
        <v>1318.8</v>
      </c>
      <c r="C46" s="40">
        <v>2162.5</v>
      </c>
      <c r="D46">
        <v>843.7</v>
      </c>
    </row>
    <row r="47" spans="1:8" x14ac:dyDescent="0.25">
      <c r="A47" t="s">
        <v>277</v>
      </c>
      <c r="B47" t="s">
        <v>278</v>
      </c>
      <c r="C47" t="s">
        <v>279</v>
      </c>
      <c r="D47" t="s">
        <v>280</v>
      </c>
    </row>
    <row r="48" spans="1:8" x14ac:dyDescent="0.25">
      <c r="A48" t="s">
        <v>281</v>
      </c>
      <c r="B48" t="s">
        <v>282</v>
      </c>
      <c r="C48" t="s">
        <v>283</v>
      </c>
      <c r="D48" t="s">
        <v>284</v>
      </c>
    </row>
    <row r="49" spans="1:4" x14ac:dyDescent="0.25">
      <c r="A49" t="s">
        <v>285</v>
      </c>
      <c r="B49" t="s">
        <v>286</v>
      </c>
      <c r="C49" t="s">
        <v>287</v>
      </c>
      <c r="D49" t="s">
        <v>288</v>
      </c>
    </row>
    <row r="51" spans="1:4" x14ac:dyDescent="0.25">
      <c r="A51" s="9" t="s">
        <v>289</v>
      </c>
    </row>
    <row r="52" spans="1:4" x14ac:dyDescent="0.25">
      <c r="A52" s="9" t="s">
        <v>290</v>
      </c>
    </row>
    <row r="53" spans="1:4" x14ac:dyDescent="0.25">
      <c r="A53" s="1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1604-2B60-4D5A-A9B7-313568A6B27A}">
  <dimension ref="A1:H24"/>
  <sheetViews>
    <sheetView workbookViewId="0"/>
  </sheetViews>
  <sheetFormatPr defaultRowHeight="15" x14ac:dyDescent="0.25"/>
  <cols>
    <col min="1" max="1" width="30.7109375" customWidth="1"/>
    <col min="2" max="8" width="15.7109375" customWidth="1"/>
  </cols>
  <sheetData>
    <row r="1" spans="1:8" ht="17.25" x14ac:dyDescent="0.3">
      <c r="A1" s="6" t="s">
        <v>292</v>
      </c>
    </row>
    <row r="2" spans="1:8" x14ac:dyDescent="0.25">
      <c r="A2" s="9" t="s">
        <v>293</v>
      </c>
    </row>
    <row r="3" spans="1:8" x14ac:dyDescent="0.25">
      <c r="A3" s="9" t="s">
        <v>294</v>
      </c>
    </row>
    <row r="5" spans="1:8" x14ac:dyDescent="0.25">
      <c r="A5" s="1" t="s">
        <v>295</v>
      </c>
      <c r="B5" s="1" t="s">
        <v>296</v>
      </c>
      <c r="C5" s="1" t="s">
        <v>297</v>
      </c>
      <c r="D5" s="1" t="s">
        <v>298</v>
      </c>
      <c r="E5" s="1" t="s">
        <v>299</v>
      </c>
      <c r="F5" s="1" t="s">
        <v>300</v>
      </c>
      <c r="G5" s="1" t="s">
        <v>301</v>
      </c>
      <c r="H5" s="1" t="s">
        <v>302</v>
      </c>
    </row>
    <row r="6" spans="1:8" x14ac:dyDescent="0.25">
      <c r="A6" t="s">
        <v>303</v>
      </c>
      <c r="B6" s="19">
        <v>792.3</v>
      </c>
      <c r="C6" s="19">
        <v>629.9</v>
      </c>
      <c r="D6" s="33">
        <f>100*C6/B6</f>
        <v>79.502713618578824</v>
      </c>
      <c r="E6" s="41">
        <v>10</v>
      </c>
      <c r="F6" s="33">
        <f>E6*0.25</f>
        <v>2.5</v>
      </c>
      <c r="G6" s="33">
        <f>D6+F6</f>
        <v>82.002713618578824</v>
      </c>
      <c r="H6" s="42">
        <v>20.02</v>
      </c>
    </row>
    <row r="7" spans="1:8" x14ac:dyDescent="0.25">
      <c r="A7" t="s">
        <v>304</v>
      </c>
      <c r="B7" s="19">
        <v>465</v>
      </c>
      <c r="C7" s="19">
        <v>372.3</v>
      </c>
      <c r="D7" s="33">
        <f>100*C7/B7</f>
        <v>80.064516129032256</v>
      </c>
      <c r="E7" s="41">
        <v>10.375</v>
      </c>
      <c r="F7" s="33">
        <f>E7*0.25</f>
        <v>2.59375</v>
      </c>
      <c r="G7" s="33">
        <f>D7+F7</f>
        <v>82.658266129032256</v>
      </c>
      <c r="H7" s="42">
        <v>20.14</v>
      </c>
    </row>
    <row r="8" spans="1:8" x14ac:dyDescent="0.25">
      <c r="A8" t="s">
        <v>305</v>
      </c>
      <c r="B8" s="19">
        <v>100</v>
      </c>
      <c r="C8" s="19">
        <v>77.8</v>
      </c>
      <c r="D8" s="33">
        <f>100*C8/B8</f>
        <v>77.8</v>
      </c>
      <c r="E8" s="41">
        <v>10.375</v>
      </c>
      <c r="F8" s="33">
        <f>E8*0.25</f>
        <v>2.59375</v>
      </c>
      <c r="G8" s="33">
        <f>D8+F8</f>
        <v>80.393749999999997</v>
      </c>
      <c r="H8" s="42">
        <v>21.44</v>
      </c>
    </row>
    <row r="9" spans="1:8" x14ac:dyDescent="0.25">
      <c r="A9" t="s">
        <v>306</v>
      </c>
      <c r="B9" s="19">
        <v>1357.3</v>
      </c>
      <c r="C9" s="19">
        <v>1080</v>
      </c>
      <c r="D9" s="33">
        <f>100*C9/B9</f>
        <v>79.56973403079644</v>
      </c>
      <c r="E9" s="41">
        <v>10.156000000000001</v>
      </c>
      <c r="F9" s="33">
        <f>E9*0.25</f>
        <v>2.5390000000000001</v>
      </c>
      <c r="G9" s="33">
        <f>D9+F9</f>
        <v>82.108734030796441</v>
      </c>
      <c r="H9" s="42">
        <v>20.16</v>
      </c>
    </row>
    <row r="11" spans="1:8" x14ac:dyDescent="0.25">
      <c r="A11" s="1" t="s">
        <v>307</v>
      </c>
    </row>
    <row r="12" spans="1:8" x14ac:dyDescent="0.25">
      <c r="A12" t="s">
        <v>308</v>
      </c>
    </row>
    <row r="13" spans="1:8" x14ac:dyDescent="0.25">
      <c r="A13" t="s">
        <v>309</v>
      </c>
    </row>
    <row r="14" spans="1:8" x14ac:dyDescent="0.25">
      <c r="A14" t="s">
        <v>310</v>
      </c>
    </row>
    <row r="15" spans="1:8" x14ac:dyDescent="0.25">
      <c r="A15" t="s">
        <v>311</v>
      </c>
    </row>
    <row r="17" spans="1:1" x14ac:dyDescent="0.25">
      <c r="A17" s="1" t="s">
        <v>312</v>
      </c>
    </row>
    <row r="19" spans="1:1" x14ac:dyDescent="0.25">
      <c r="A19" s="5" t="s">
        <v>313</v>
      </c>
    </row>
    <row r="20" spans="1:1" x14ac:dyDescent="0.25">
      <c r="A20" s="12" t="s">
        <v>314</v>
      </c>
    </row>
    <row r="21" spans="1:1" x14ac:dyDescent="0.25">
      <c r="A21" s="12" t="s">
        <v>315</v>
      </c>
    </row>
    <row r="22" spans="1:1" x14ac:dyDescent="0.25">
      <c r="A22" s="12" t="s">
        <v>316</v>
      </c>
    </row>
    <row r="23" spans="1:1" x14ac:dyDescent="0.25">
      <c r="A23" s="12" t="s">
        <v>317</v>
      </c>
    </row>
    <row r="24" spans="1:1" x14ac:dyDescent="0.25">
      <c r="A24" s="12" t="s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069-ED2B-4D84-B974-825578E642CA}">
  <dimension ref="A1:H29"/>
  <sheetViews>
    <sheetView workbookViewId="0"/>
  </sheetViews>
  <sheetFormatPr defaultRowHeight="15" x14ac:dyDescent="0.25"/>
  <cols>
    <col min="1" max="1" width="42.7109375" customWidth="1"/>
    <col min="2" max="8" width="17.7109375" customWidth="1"/>
  </cols>
  <sheetData>
    <row r="1" spans="1:8" ht="17.25" x14ac:dyDescent="0.3">
      <c r="A1" s="6" t="s">
        <v>319</v>
      </c>
    </row>
    <row r="2" spans="1:8" x14ac:dyDescent="0.25">
      <c r="A2" s="9" t="s">
        <v>320</v>
      </c>
    </row>
    <row r="3" spans="1:8" x14ac:dyDescent="0.25">
      <c r="A3" s="9" t="s">
        <v>321</v>
      </c>
    </row>
    <row r="5" spans="1:8" x14ac:dyDescent="0.25">
      <c r="A5" s="1" t="s">
        <v>322</v>
      </c>
      <c r="B5" s="1" t="s">
        <v>323</v>
      </c>
      <c r="C5" s="1" t="s">
        <v>324</v>
      </c>
      <c r="D5" s="1" t="s">
        <v>325</v>
      </c>
      <c r="E5" s="1" t="s">
        <v>326</v>
      </c>
      <c r="F5" s="1" t="s">
        <v>327</v>
      </c>
      <c r="G5" s="1" t="s">
        <v>328</v>
      </c>
      <c r="H5" s="1" t="s">
        <v>329</v>
      </c>
    </row>
    <row r="6" spans="1:8" x14ac:dyDescent="0.25">
      <c r="A6" t="s">
        <v>330</v>
      </c>
      <c r="B6" s="15">
        <v>200.8</v>
      </c>
      <c r="C6" s="15">
        <v>203.7</v>
      </c>
      <c r="D6" s="36">
        <v>5.71</v>
      </c>
      <c r="E6" s="36">
        <v>5.56</v>
      </c>
      <c r="F6" s="36">
        <v>1.99</v>
      </c>
      <c r="G6" s="36">
        <v>2.21</v>
      </c>
      <c r="H6" s="15">
        <v>560</v>
      </c>
    </row>
    <row r="7" spans="1:8" x14ac:dyDescent="0.25">
      <c r="A7" t="s">
        <v>331</v>
      </c>
      <c r="B7" s="15">
        <v>200.8</v>
      </c>
      <c r="C7" s="15">
        <v>203.7</v>
      </c>
      <c r="D7" s="36">
        <v>8.0399999999999991</v>
      </c>
      <c r="E7" s="36">
        <v>9.17</v>
      </c>
      <c r="F7" s="36">
        <v>1.52</v>
      </c>
      <c r="G7" s="36">
        <v>1.57</v>
      </c>
      <c r="H7" s="15">
        <v>995.3</v>
      </c>
    </row>
    <row r="8" spans="1:8" x14ac:dyDescent="0.25">
      <c r="A8" t="s">
        <v>332</v>
      </c>
      <c r="B8" s="15">
        <v>199.6</v>
      </c>
      <c r="C8" s="15">
        <v>202.4</v>
      </c>
      <c r="D8" s="36">
        <v>8.0299999999999994</v>
      </c>
      <c r="E8" s="36">
        <v>9.15</v>
      </c>
      <c r="F8" s="36">
        <v>1.53</v>
      </c>
      <c r="G8" s="36">
        <v>1.58</v>
      </c>
      <c r="H8" s="15">
        <v>988.4</v>
      </c>
    </row>
    <row r="9" spans="1:8" x14ac:dyDescent="0.25">
      <c r="A9" t="s">
        <v>333</v>
      </c>
      <c r="B9" s="15">
        <v>199.6</v>
      </c>
      <c r="C9" s="15">
        <v>202.4</v>
      </c>
      <c r="D9" s="36">
        <v>7.99</v>
      </c>
      <c r="E9" s="36">
        <v>9.1199999999999992</v>
      </c>
      <c r="F9" s="36">
        <v>1.53</v>
      </c>
      <c r="G9" s="36">
        <v>1.58</v>
      </c>
      <c r="H9" s="15">
        <v>976.9</v>
      </c>
    </row>
    <row r="10" spans="1:8" x14ac:dyDescent="0.25">
      <c r="A10" s="1" t="s">
        <v>334</v>
      </c>
      <c r="B10" s="30">
        <v>292.8</v>
      </c>
      <c r="C10" s="30">
        <v>326.7</v>
      </c>
      <c r="D10" s="43">
        <v>8.2899999999999991</v>
      </c>
      <c r="E10" s="43">
        <v>10.18</v>
      </c>
      <c r="F10" s="43">
        <v>1.05</v>
      </c>
      <c r="G10" s="43">
        <v>0.98</v>
      </c>
      <c r="H10" s="30">
        <v>1318.8</v>
      </c>
    </row>
    <row r="12" spans="1:8" x14ac:dyDescent="0.25">
      <c r="A12" s="1" t="s">
        <v>335</v>
      </c>
    </row>
    <row r="13" spans="1:8" x14ac:dyDescent="0.25">
      <c r="A13" s="1" t="s">
        <v>257</v>
      </c>
      <c r="B13" s="1" t="s">
        <v>336</v>
      </c>
      <c r="C13" s="1" t="s">
        <v>337</v>
      </c>
      <c r="D13" s="1" t="s">
        <v>91</v>
      </c>
      <c r="E13" s="1" t="s">
        <v>338</v>
      </c>
      <c r="F13" s="1" t="s">
        <v>339</v>
      </c>
    </row>
    <row r="14" spans="1:8" x14ac:dyDescent="0.25">
      <c r="A14" t="s">
        <v>340</v>
      </c>
      <c r="B14" t="s">
        <v>341</v>
      </c>
      <c r="C14" t="s">
        <v>342</v>
      </c>
      <c r="D14" t="s">
        <v>343</v>
      </c>
      <c r="E14" t="s">
        <v>344</v>
      </c>
      <c r="F14" t="s">
        <v>345</v>
      </c>
    </row>
    <row r="15" spans="1:8" x14ac:dyDescent="0.25">
      <c r="A15" t="s">
        <v>346</v>
      </c>
      <c r="B15" t="s">
        <v>347</v>
      </c>
      <c r="C15" t="s">
        <v>348</v>
      </c>
      <c r="D15" t="s">
        <v>349</v>
      </c>
      <c r="E15" t="s">
        <v>350</v>
      </c>
      <c r="F15" t="s">
        <v>351</v>
      </c>
    </row>
    <row r="16" spans="1:8" x14ac:dyDescent="0.25">
      <c r="A16" t="s">
        <v>352</v>
      </c>
      <c r="B16" t="s">
        <v>353</v>
      </c>
      <c r="C16" t="s">
        <v>354</v>
      </c>
      <c r="D16" t="s">
        <v>349</v>
      </c>
      <c r="E16" t="s">
        <v>350</v>
      </c>
      <c r="F16" t="s">
        <v>355</v>
      </c>
    </row>
    <row r="17" spans="1:6" x14ac:dyDescent="0.25">
      <c r="A17" t="s">
        <v>276</v>
      </c>
      <c r="B17">
        <v>758.8</v>
      </c>
      <c r="C17" t="s">
        <v>356</v>
      </c>
      <c r="D17" t="s">
        <v>357</v>
      </c>
      <c r="E17" t="s">
        <v>358</v>
      </c>
      <c r="F17" t="s">
        <v>359</v>
      </c>
    </row>
    <row r="19" spans="1:6" x14ac:dyDescent="0.25">
      <c r="A19" s="1" t="s">
        <v>360</v>
      </c>
    </row>
    <row r="20" spans="1:6" x14ac:dyDescent="0.25">
      <c r="A20" s="1" t="s">
        <v>361</v>
      </c>
    </row>
    <row r="21" spans="1:6" x14ac:dyDescent="0.25">
      <c r="A21" t="s">
        <v>362</v>
      </c>
    </row>
    <row r="22" spans="1:6" x14ac:dyDescent="0.25">
      <c r="A22" t="s">
        <v>363</v>
      </c>
    </row>
    <row r="24" spans="1:6" x14ac:dyDescent="0.25">
      <c r="A24" t="s">
        <v>364</v>
      </c>
    </row>
    <row r="25" spans="1:6" x14ac:dyDescent="0.25">
      <c r="A25" t="s">
        <v>365</v>
      </c>
    </row>
    <row r="26" spans="1:6" x14ac:dyDescent="0.25">
      <c r="A26" t="s">
        <v>366</v>
      </c>
    </row>
    <row r="28" spans="1:6" x14ac:dyDescent="0.25">
      <c r="A28" s="1" t="s">
        <v>367</v>
      </c>
    </row>
    <row r="29" spans="1:6" x14ac:dyDescent="0.25">
      <c r="A29" s="1" t="s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D583-7997-452E-885C-0760B7CB72ED}">
  <dimension ref="A1:G50"/>
  <sheetViews>
    <sheetView workbookViewId="0"/>
  </sheetViews>
  <sheetFormatPr defaultRowHeight="15" x14ac:dyDescent="0.25"/>
  <cols>
    <col min="1" max="1" width="46.7109375" customWidth="1"/>
    <col min="2" max="2" width="34.7109375" customWidth="1"/>
    <col min="3" max="6" width="22.7109375" customWidth="1"/>
  </cols>
  <sheetData>
    <row r="1" spans="1:6" ht="17.25" x14ac:dyDescent="0.3">
      <c r="A1" s="6" t="s">
        <v>369</v>
      </c>
    </row>
    <row r="2" spans="1:6" x14ac:dyDescent="0.25">
      <c r="A2" s="9" t="s">
        <v>370</v>
      </c>
    </row>
    <row r="3" spans="1:6" x14ac:dyDescent="0.25">
      <c r="A3" s="9" t="s">
        <v>371</v>
      </c>
    </row>
    <row r="5" spans="1:6" x14ac:dyDescent="0.25">
      <c r="A5" s="13" t="s">
        <v>372</v>
      </c>
      <c r="B5" s="13"/>
      <c r="C5" s="13"/>
      <c r="D5" s="13"/>
      <c r="E5" s="13"/>
      <c r="F5" s="13"/>
    </row>
    <row r="6" spans="1:6" x14ac:dyDescent="0.25">
      <c r="A6" s="1" t="s">
        <v>373</v>
      </c>
      <c r="B6" s="1" t="s">
        <v>374</v>
      </c>
      <c r="C6" s="1" t="s">
        <v>375</v>
      </c>
      <c r="D6" s="1" t="s">
        <v>376</v>
      </c>
      <c r="E6" s="1" t="s">
        <v>329</v>
      </c>
      <c r="F6" s="1" t="s">
        <v>377</v>
      </c>
    </row>
    <row r="7" spans="1:6" x14ac:dyDescent="0.25">
      <c r="A7" s="1" t="s">
        <v>378</v>
      </c>
      <c r="B7" s="30">
        <v>53.1</v>
      </c>
      <c r="C7" s="43">
        <v>5.89</v>
      </c>
      <c r="D7" s="30">
        <v>-115.1</v>
      </c>
      <c r="E7" s="30">
        <v>566.29999999999995</v>
      </c>
      <c r="F7" s="44" t="s">
        <v>379</v>
      </c>
    </row>
    <row r="8" spans="1:6" x14ac:dyDescent="0.25">
      <c r="A8" t="s">
        <v>380</v>
      </c>
      <c r="B8" s="15">
        <v>154.9</v>
      </c>
      <c r="C8" s="36">
        <v>2.02</v>
      </c>
      <c r="D8" s="15">
        <v>-216.9</v>
      </c>
      <c r="E8" s="15">
        <v>846.2</v>
      </c>
      <c r="F8" s="9" t="s">
        <v>381</v>
      </c>
    </row>
    <row r="9" spans="1:6" x14ac:dyDescent="0.25">
      <c r="A9" s="1" t="s">
        <v>382</v>
      </c>
      <c r="B9" s="30">
        <v>193.9</v>
      </c>
      <c r="C9" s="43">
        <v>1.61</v>
      </c>
      <c r="D9" s="30">
        <v>-255.9</v>
      </c>
      <c r="E9" s="30">
        <v>953.5</v>
      </c>
      <c r="F9" s="44" t="s">
        <v>383</v>
      </c>
    </row>
    <row r="10" spans="1:6" x14ac:dyDescent="0.25">
      <c r="A10" t="s">
        <v>384</v>
      </c>
      <c r="B10" s="15">
        <v>222.8</v>
      </c>
      <c r="C10" s="36">
        <v>1.41</v>
      </c>
      <c r="D10" s="15">
        <v>-284.8</v>
      </c>
      <c r="E10" s="15">
        <v>1032.8</v>
      </c>
      <c r="F10" s="9"/>
    </row>
    <row r="11" spans="1:6" x14ac:dyDescent="0.25">
      <c r="A11" t="s">
        <v>385</v>
      </c>
      <c r="B11" s="15">
        <v>256.7</v>
      </c>
      <c r="C11" s="36">
        <v>1.22</v>
      </c>
      <c r="D11" s="15">
        <v>-318.7</v>
      </c>
      <c r="E11" s="15">
        <v>1126.2</v>
      </c>
      <c r="F11" s="9"/>
    </row>
    <row r="12" spans="1:6" x14ac:dyDescent="0.25">
      <c r="A12" t="s">
        <v>386</v>
      </c>
      <c r="B12" s="15">
        <v>326.7</v>
      </c>
      <c r="C12" s="36">
        <v>0.96</v>
      </c>
      <c r="D12" s="15">
        <v>-388.7</v>
      </c>
      <c r="E12" s="15">
        <v>1318.8</v>
      </c>
      <c r="F12" s="9" t="s">
        <v>387</v>
      </c>
    </row>
    <row r="14" spans="1:6" x14ac:dyDescent="0.25">
      <c r="A14" s="1" t="s">
        <v>388</v>
      </c>
    </row>
    <row r="15" spans="1:6" x14ac:dyDescent="0.25">
      <c r="A15" s="5" t="s">
        <v>389</v>
      </c>
    </row>
    <row r="16" spans="1:6" x14ac:dyDescent="0.25">
      <c r="A16" s="5" t="s">
        <v>390</v>
      </c>
    </row>
    <row r="17" spans="1:7" x14ac:dyDescent="0.25">
      <c r="A17" t="s">
        <v>391</v>
      </c>
    </row>
    <row r="19" spans="1:7" x14ac:dyDescent="0.25">
      <c r="A19" s="13" t="s">
        <v>392</v>
      </c>
      <c r="B19" s="13"/>
      <c r="C19" s="13"/>
      <c r="D19" s="13"/>
      <c r="E19" s="13"/>
      <c r="F19" s="13"/>
    </row>
    <row r="20" spans="1:7" x14ac:dyDescent="0.25">
      <c r="A20" s="1" t="s">
        <v>393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</row>
    <row r="21" spans="1:7" x14ac:dyDescent="0.25">
      <c r="A21" t="s">
        <v>206</v>
      </c>
      <c r="B21" s="15">
        <v>264.60000000000002</v>
      </c>
      <c r="C21" s="15">
        <v>288.3</v>
      </c>
      <c r="D21" s="15">
        <v>299.5</v>
      </c>
      <c r="E21" s="15">
        <v>306.2</v>
      </c>
      <c r="F21" s="15">
        <v>313</v>
      </c>
      <c r="G21" s="15">
        <v>320.10000000000002</v>
      </c>
    </row>
    <row r="22" spans="1:7" x14ac:dyDescent="0.25">
      <c r="A22" t="s">
        <v>71</v>
      </c>
      <c r="B22" s="15">
        <v>-300</v>
      </c>
      <c r="C22" s="15">
        <v>-350</v>
      </c>
      <c r="D22" s="15">
        <v>-350</v>
      </c>
      <c r="E22" s="15">
        <v>-350</v>
      </c>
      <c r="F22" s="15">
        <v>-350</v>
      </c>
      <c r="G22" s="15">
        <v>-300</v>
      </c>
    </row>
    <row r="23" spans="1:7" x14ac:dyDescent="0.25">
      <c r="A23" s="1" t="s">
        <v>394</v>
      </c>
      <c r="B23" s="30">
        <v>-35.4</v>
      </c>
      <c r="C23" s="30">
        <v>-61.7</v>
      </c>
      <c r="D23" s="30">
        <v>-50.5</v>
      </c>
      <c r="E23" s="30">
        <v>-43.8</v>
      </c>
      <c r="F23" s="30">
        <v>-37</v>
      </c>
      <c r="G23" s="30">
        <v>20.100000000000001</v>
      </c>
    </row>
    <row r="24" spans="1:7" x14ac:dyDescent="0.25">
      <c r="A24" t="s">
        <v>395</v>
      </c>
      <c r="B24" s="15">
        <v>-160</v>
      </c>
      <c r="C24" s="15">
        <v>-191</v>
      </c>
      <c r="D24" s="15">
        <v>-191</v>
      </c>
      <c r="E24" s="15">
        <v>-292.8</v>
      </c>
      <c r="F24" s="15">
        <v>-326.7</v>
      </c>
      <c r="G24" s="15">
        <v>-326.7</v>
      </c>
    </row>
    <row r="25" spans="1:7" x14ac:dyDescent="0.25">
      <c r="A25" t="s">
        <v>215</v>
      </c>
      <c r="B25" s="15">
        <v>-230.4</v>
      </c>
      <c r="C25" s="15">
        <v>-277.60000000000002</v>
      </c>
      <c r="D25" s="15">
        <v>-266.5</v>
      </c>
      <c r="E25" s="15">
        <v>-361.6</v>
      </c>
      <c r="F25" s="15">
        <v>-388.7</v>
      </c>
      <c r="G25" s="15">
        <v>-331.6</v>
      </c>
    </row>
    <row r="27" spans="1:7" x14ac:dyDescent="0.25">
      <c r="A27" s="5" t="s">
        <v>396</v>
      </c>
    </row>
    <row r="28" spans="1:7" x14ac:dyDescent="0.25">
      <c r="A28" s="5" t="s">
        <v>397</v>
      </c>
    </row>
    <row r="30" spans="1:7" x14ac:dyDescent="0.25">
      <c r="A30" s="13" t="s">
        <v>398</v>
      </c>
      <c r="B30" s="13"/>
      <c r="C30" s="13"/>
      <c r="D30" s="13"/>
      <c r="E30" s="13"/>
      <c r="F30" s="13"/>
    </row>
    <row r="31" spans="1:7" x14ac:dyDescent="0.25">
      <c r="A31" s="1" t="s">
        <v>399</v>
      </c>
      <c r="B31" s="1" t="s">
        <v>400</v>
      </c>
      <c r="C31" s="9" t="s">
        <v>401</v>
      </c>
    </row>
    <row r="32" spans="1:7" x14ac:dyDescent="0.25">
      <c r="A32" s="1" t="s">
        <v>402</v>
      </c>
      <c r="B32" s="1" t="s">
        <v>403</v>
      </c>
      <c r="C32" s="9" t="s">
        <v>404</v>
      </c>
    </row>
    <row r="33" spans="1:6" x14ac:dyDescent="0.25">
      <c r="A33" s="1" t="s">
        <v>405</v>
      </c>
      <c r="B33" s="1" t="s">
        <v>406</v>
      </c>
      <c r="C33" s="9" t="s">
        <v>407</v>
      </c>
    </row>
    <row r="34" spans="1:6" x14ac:dyDescent="0.25">
      <c r="A34" s="1" t="s">
        <v>408</v>
      </c>
      <c r="B34" s="1" t="s">
        <v>409</v>
      </c>
      <c r="C34" s="9" t="s">
        <v>410</v>
      </c>
    </row>
    <row r="36" spans="1:6" x14ac:dyDescent="0.25">
      <c r="A36" s="9" t="s">
        <v>411</v>
      </c>
    </row>
    <row r="38" spans="1:6" x14ac:dyDescent="0.25">
      <c r="A38" s="13" t="s">
        <v>412</v>
      </c>
      <c r="B38" s="13"/>
      <c r="C38" s="13"/>
      <c r="D38" s="13"/>
      <c r="E38" s="13"/>
      <c r="F38" s="13"/>
    </row>
    <row r="39" spans="1:6" x14ac:dyDescent="0.25">
      <c r="A39" s="1" t="s">
        <v>413</v>
      </c>
      <c r="B39" s="1" t="s">
        <v>414</v>
      </c>
      <c r="C39" s="1" t="s">
        <v>415</v>
      </c>
      <c r="D39" s="1" t="s">
        <v>60</v>
      </c>
    </row>
    <row r="40" spans="1:6" x14ac:dyDescent="0.25">
      <c r="A40" s="1" t="s">
        <v>258</v>
      </c>
      <c r="B40" s="1" t="s">
        <v>416</v>
      </c>
      <c r="C40" s="1" t="s">
        <v>417</v>
      </c>
      <c r="D40" s="9" t="s">
        <v>418</v>
      </c>
    </row>
    <row r="41" spans="1:6" x14ac:dyDescent="0.25">
      <c r="A41" s="1" t="s">
        <v>259</v>
      </c>
      <c r="B41" s="1" t="s">
        <v>419</v>
      </c>
      <c r="C41" s="1" t="s">
        <v>420</v>
      </c>
      <c r="D41" s="9" t="s">
        <v>421</v>
      </c>
    </row>
    <row r="43" spans="1:6" x14ac:dyDescent="0.25">
      <c r="A43" s="31" t="s">
        <v>422</v>
      </c>
    </row>
    <row r="45" spans="1:6" x14ac:dyDescent="0.25">
      <c r="A45" s="13" t="s">
        <v>423</v>
      </c>
      <c r="B45" s="13"/>
      <c r="C45" s="13"/>
      <c r="D45" s="13"/>
      <c r="E45" s="13"/>
      <c r="F45" s="13"/>
    </row>
    <row r="46" spans="1:6" x14ac:dyDescent="0.25">
      <c r="A46" s="1" t="s">
        <v>424</v>
      </c>
      <c r="B46" t="s">
        <v>425</v>
      </c>
    </row>
    <row r="47" spans="1:6" x14ac:dyDescent="0.25">
      <c r="A47" s="1" t="s">
        <v>426</v>
      </c>
      <c r="B47" t="s">
        <v>427</v>
      </c>
    </row>
    <row r="48" spans="1:6" x14ac:dyDescent="0.25">
      <c r="A48" s="1" t="s">
        <v>428</v>
      </c>
      <c r="B48" t="s">
        <v>429</v>
      </c>
    </row>
    <row r="49" spans="1:2" x14ac:dyDescent="0.25">
      <c r="A49" s="1" t="s">
        <v>430</v>
      </c>
      <c r="B49" t="s">
        <v>431</v>
      </c>
    </row>
    <row r="50" spans="1:2" x14ac:dyDescent="0.25">
      <c r="A50" s="1" t="s">
        <v>432</v>
      </c>
      <c r="B5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DE56-EB3C-4085-A3CB-65C1DFE31921}">
  <dimension ref="A1:F63"/>
  <sheetViews>
    <sheetView workbookViewId="0"/>
  </sheetViews>
  <sheetFormatPr defaultRowHeight="15" x14ac:dyDescent="0.25"/>
  <cols>
    <col min="1" max="1" width="46.7109375" customWidth="1"/>
    <col min="2" max="2" width="105.7109375" customWidth="1"/>
    <col min="3" max="6" width="20.7109375" customWidth="1"/>
  </cols>
  <sheetData>
    <row r="1" spans="1:6" ht="17.25" x14ac:dyDescent="0.3">
      <c r="A1" s="6" t="s">
        <v>434</v>
      </c>
    </row>
    <row r="2" spans="1:6" x14ac:dyDescent="0.25">
      <c r="A2" s="9" t="s">
        <v>435</v>
      </c>
    </row>
    <row r="3" spans="1:6" x14ac:dyDescent="0.25">
      <c r="A3" s="9" t="s">
        <v>436</v>
      </c>
    </row>
    <row r="5" spans="1:6" x14ac:dyDescent="0.25">
      <c r="A5" s="13" t="s">
        <v>437</v>
      </c>
      <c r="B5" s="13"/>
      <c r="C5" s="13"/>
      <c r="D5" s="13"/>
      <c r="E5" s="13"/>
      <c r="F5" s="13"/>
    </row>
    <row r="6" spans="1:6" x14ac:dyDescent="0.25">
      <c r="A6" s="1" t="s">
        <v>438</v>
      </c>
      <c r="B6" s="1" t="s">
        <v>439</v>
      </c>
      <c r="C6" s="1" t="s">
        <v>440</v>
      </c>
      <c r="D6" s="1" t="s">
        <v>441</v>
      </c>
      <c r="E6" s="1" t="s">
        <v>442</v>
      </c>
    </row>
    <row r="7" spans="1:6" x14ac:dyDescent="0.25">
      <c r="A7" t="s">
        <v>443</v>
      </c>
      <c r="B7" s="15">
        <v>288.3</v>
      </c>
      <c r="C7" s="15">
        <v>29.7</v>
      </c>
      <c r="D7" t="s">
        <v>444</v>
      </c>
      <c r="E7" t="s">
        <v>274</v>
      </c>
    </row>
    <row r="8" spans="1:6" x14ac:dyDescent="0.25">
      <c r="A8" s="1" t="s">
        <v>445</v>
      </c>
      <c r="B8" s="30">
        <v>176.8</v>
      </c>
      <c r="C8" s="30">
        <v>-81.8</v>
      </c>
      <c r="D8" s="1">
        <v>-111.5</v>
      </c>
      <c r="E8" s="1" t="s">
        <v>271</v>
      </c>
    </row>
    <row r="9" spans="1:6" x14ac:dyDescent="0.25">
      <c r="A9" t="s">
        <v>446</v>
      </c>
      <c r="B9" s="15">
        <v>129.30000000000001</v>
      </c>
      <c r="C9" s="15">
        <v>-129.30000000000001</v>
      </c>
      <c r="D9">
        <v>-47.5</v>
      </c>
      <c r="E9" t="s">
        <v>271</v>
      </c>
    </row>
    <row r="10" spans="1:6" x14ac:dyDescent="0.25">
      <c r="A10" t="s">
        <v>447</v>
      </c>
      <c r="B10" s="15">
        <v>129.30000000000001</v>
      </c>
      <c r="C10" s="15">
        <v>-136.19999999999999</v>
      </c>
      <c r="D10">
        <v>-6.9</v>
      </c>
      <c r="E10" t="s">
        <v>271</v>
      </c>
    </row>
    <row r="11" spans="1:6" x14ac:dyDescent="0.25">
      <c r="A11" t="s">
        <v>448</v>
      </c>
      <c r="B11" s="15">
        <v>129.30000000000001</v>
      </c>
      <c r="C11" s="15">
        <v>-48.2</v>
      </c>
      <c r="D11">
        <v>88</v>
      </c>
      <c r="E11" t="s">
        <v>271</v>
      </c>
    </row>
    <row r="13" spans="1:6" x14ac:dyDescent="0.25">
      <c r="A13" s="1" t="s">
        <v>449</v>
      </c>
    </row>
    <row r="14" spans="1:6" x14ac:dyDescent="0.25">
      <c r="A14" s="1" t="s">
        <v>450</v>
      </c>
    </row>
    <row r="15" spans="1:6" x14ac:dyDescent="0.25">
      <c r="A15" s="9" t="s">
        <v>451</v>
      </c>
    </row>
    <row r="17" spans="1:6" x14ac:dyDescent="0.25">
      <c r="A17" s="13" t="s">
        <v>452</v>
      </c>
      <c r="B17" s="13"/>
      <c r="C17" s="13"/>
      <c r="D17" s="13"/>
      <c r="E17" s="13"/>
      <c r="F17" s="13"/>
    </row>
    <row r="18" spans="1:6" x14ac:dyDescent="0.25">
      <c r="A18" s="1" t="s">
        <v>453</v>
      </c>
      <c r="B18" s="1" t="s">
        <v>454</v>
      </c>
      <c r="C18" s="1" t="s">
        <v>439</v>
      </c>
      <c r="D18" s="1" t="s">
        <v>440</v>
      </c>
      <c r="E18" s="1" t="s">
        <v>442</v>
      </c>
    </row>
    <row r="19" spans="1:6" x14ac:dyDescent="0.25">
      <c r="A19" t="s">
        <v>455</v>
      </c>
      <c r="B19" s="15">
        <v>1671.4</v>
      </c>
      <c r="C19" s="15">
        <v>288.3</v>
      </c>
      <c r="D19" s="15">
        <v>29.7</v>
      </c>
      <c r="E19" t="s">
        <v>274</v>
      </c>
    </row>
    <row r="20" spans="1:6" x14ac:dyDescent="0.25">
      <c r="A20" t="s">
        <v>456</v>
      </c>
      <c r="B20" s="15">
        <v>1608.6</v>
      </c>
      <c r="C20" s="15">
        <v>266</v>
      </c>
      <c r="D20" s="15">
        <v>7.4</v>
      </c>
      <c r="E20" t="s">
        <v>274</v>
      </c>
    </row>
    <row r="21" spans="1:6" x14ac:dyDescent="0.25">
      <c r="A21" s="1" t="s">
        <v>457</v>
      </c>
      <c r="B21" s="30">
        <v>1588.4</v>
      </c>
      <c r="C21" s="30">
        <v>258.89999999999998</v>
      </c>
      <c r="D21" s="30">
        <v>0.3</v>
      </c>
      <c r="E21" s="1" t="s">
        <v>458</v>
      </c>
    </row>
    <row r="22" spans="1:6" x14ac:dyDescent="0.25">
      <c r="A22" t="s">
        <v>459</v>
      </c>
      <c r="B22" s="15">
        <v>1545.7</v>
      </c>
      <c r="C22" s="15">
        <v>243.7</v>
      </c>
      <c r="D22" s="15">
        <v>-14.9</v>
      </c>
      <c r="E22" t="s">
        <v>271</v>
      </c>
    </row>
    <row r="23" spans="1:6" x14ac:dyDescent="0.25">
      <c r="A23" t="s">
        <v>460</v>
      </c>
      <c r="B23" s="15">
        <v>1357.2</v>
      </c>
      <c r="C23" s="15">
        <v>176.8</v>
      </c>
      <c r="D23" s="15">
        <v>-81.8</v>
      </c>
      <c r="E23" t="s">
        <v>271</v>
      </c>
    </row>
    <row r="24" spans="1:6" x14ac:dyDescent="0.25">
      <c r="A24" t="s">
        <v>461</v>
      </c>
      <c r="B24" s="15">
        <v>1168.5999999999999</v>
      </c>
      <c r="C24" s="15">
        <v>109.9</v>
      </c>
      <c r="D24" s="15">
        <v>-148.80000000000001</v>
      </c>
      <c r="E24" t="s">
        <v>271</v>
      </c>
    </row>
    <row r="25" spans="1:6" x14ac:dyDescent="0.25">
      <c r="A25" t="s">
        <v>462</v>
      </c>
      <c r="B25" s="15">
        <v>980.1</v>
      </c>
      <c r="C25" s="15">
        <v>42.9</v>
      </c>
      <c r="D25" s="15">
        <v>-215.7</v>
      </c>
      <c r="E25" t="s">
        <v>271</v>
      </c>
    </row>
    <row r="27" spans="1:6" x14ac:dyDescent="0.25">
      <c r="A27" s="5" t="s">
        <v>463</v>
      </c>
    </row>
    <row r="28" spans="1:6" x14ac:dyDescent="0.25">
      <c r="A28" s="5" t="s">
        <v>464</v>
      </c>
    </row>
    <row r="30" spans="1:6" x14ac:dyDescent="0.25">
      <c r="A30" s="13" t="s">
        <v>465</v>
      </c>
      <c r="B30" s="13"/>
      <c r="C30" s="13"/>
      <c r="D30" s="13"/>
      <c r="E30" s="13"/>
      <c r="F30" s="13"/>
    </row>
    <row r="31" spans="1:6" x14ac:dyDescent="0.25">
      <c r="A31" s="1" t="s">
        <v>466</v>
      </c>
    </row>
    <row r="32" spans="1:6" x14ac:dyDescent="0.25">
      <c r="A32" t="s">
        <v>206</v>
      </c>
      <c r="B32" s="15">
        <v>288.3</v>
      </c>
    </row>
    <row r="33" spans="1:6" x14ac:dyDescent="0.25">
      <c r="A33" t="s">
        <v>395</v>
      </c>
      <c r="B33" s="15">
        <v>-191</v>
      </c>
    </row>
    <row r="34" spans="1:6" x14ac:dyDescent="0.25">
      <c r="A34" t="s">
        <v>71</v>
      </c>
      <c r="B34" s="15">
        <v>-350</v>
      </c>
    </row>
    <row r="35" spans="1:6" x14ac:dyDescent="0.25">
      <c r="A35" t="s">
        <v>467</v>
      </c>
      <c r="B35" s="15">
        <v>-25</v>
      </c>
    </row>
    <row r="36" spans="1:6" x14ac:dyDescent="0.25">
      <c r="A36" s="1" t="s">
        <v>210</v>
      </c>
      <c r="B36" s="30">
        <v>-277.60000000000002</v>
      </c>
    </row>
    <row r="38" spans="1:6" x14ac:dyDescent="0.25">
      <c r="A38" t="s">
        <v>468</v>
      </c>
    </row>
    <row r="39" spans="1:6" x14ac:dyDescent="0.25">
      <c r="A39" t="s">
        <v>469</v>
      </c>
    </row>
    <row r="41" spans="1:6" x14ac:dyDescent="0.25">
      <c r="A41" s="13" t="s">
        <v>470</v>
      </c>
      <c r="B41" s="13"/>
      <c r="C41" s="13"/>
      <c r="D41" s="13"/>
      <c r="E41" s="13"/>
      <c r="F41" s="13"/>
    </row>
    <row r="42" spans="1:6" x14ac:dyDescent="0.25">
      <c r="A42" s="1" t="s">
        <v>471</v>
      </c>
      <c r="B42" s="1" t="s">
        <v>440</v>
      </c>
      <c r="C42" s="1" t="s">
        <v>472</v>
      </c>
      <c r="D42" s="1" t="s">
        <v>442</v>
      </c>
    </row>
    <row r="43" spans="1:6" x14ac:dyDescent="0.25">
      <c r="A43" t="s">
        <v>473</v>
      </c>
      <c r="B43" s="15">
        <v>29.7</v>
      </c>
      <c r="C43" s="15">
        <v>-236.7</v>
      </c>
      <c r="D43" t="s">
        <v>274</v>
      </c>
    </row>
    <row r="44" spans="1:6" x14ac:dyDescent="0.25">
      <c r="A44" t="s">
        <v>474</v>
      </c>
      <c r="B44" s="15">
        <v>79.7</v>
      </c>
      <c r="C44" s="15">
        <v>-186.7</v>
      </c>
      <c r="D44" t="s">
        <v>274</v>
      </c>
    </row>
    <row r="45" spans="1:6" x14ac:dyDescent="0.25">
      <c r="A45" t="s">
        <v>475</v>
      </c>
      <c r="B45" s="15">
        <v>129.69999999999999</v>
      </c>
      <c r="C45" s="15">
        <v>-136.69999999999999</v>
      </c>
      <c r="D45" t="s">
        <v>274</v>
      </c>
    </row>
    <row r="47" spans="1:6" x14ac:dyDescent="0.25">
      <c r="A47" s="1" t="s">
        <v>476</v>
      </c>
    </row>
    <row r="48" spans="1:6" x14ac:dyDescent="0.25">
      <c r="A48" s="1" t="s">
        <v>477</v>
      </c>
    </row>
    <row r="50" spans="1:6" x14ac:dyDescent="0.25">
      <c r="A50" s="13" t="s">
        <v>478</v>
      </c>
      <c r="B50" s="13"/>
      <c r="C50" s="13"/>
      <c r="D50" s="13"/>
      <c r="E50" s="13"/>
      <c r="F50" s="13"/>
    </row>
    <row r="51" spans="1:6" x14ac:dyDescent="0.25">
      <c r="A51" s="1" t="s">
        <v>479</v>
      </c>
      <c r="B51" t="s">
        <v>480</v>
      </c>
    </row>
    <row r="52" spans="1:6" x14ac:dyDescent="0.25">
      <c r="A52" s="1" t="s">
        <v>481</v>
      </c>
      <c r="B52" t="s">
        <v>482</v>
      </c>
    </row>
    <row r="53" spans="1:6" x14ac:dyDescent="0.25">
      <c r="A53" s="1" t="s">
        <v>483</v>
      </c>
      <c r="B53" t="s">
        <v>484</v>
      </c>
    </row>
    <row r="54" spans="1:6" x14ac:dyDescent="0.25">
      <c r="A54" s="1" t="s">
        <v>485</v>
      </c>
      <c r="B54" t="s">
        <v>486</v>
      </c>
    </row>
    <row r="56" spans="1:6" x14ac:dyDescent="0.25">
      <c r="A56" s="13" t="s">
        <v>487</v>
      </c>
      <c r="B56" s="13"/>
      <c r="C56" s="13"/>
      <c r="D56" s="13"/>
      <c r="E56" s="13"/>
      <c r="F56" s="13"/>
    </row>
    <row r="57" spans="1:6" x14ac:dyDescent="0.25">
      <c r="A57" t="s">
        <v>488</v>
      </c>
    </row>
    <row r="58" spans="1:6" x14ac:dyDescent="0.25">
      <c r="A58" t="s">
        <v>489</v>
      </c>
    </row>
    <row r="59" spans="1:6" x14ac:dyDescent="0.25">
      <c r="A59" t="s">
        <v>490</v>
      </c>
    </row>
    <row r="60" spans="1:6" x14ac:dyDescent="0.25">
      <c r="A60" t="s">
        <v>491</v>
      </c>
    </row>
    <row r="62" spans="1:6" x14ac:dyDescent="0.25">
      <c r="A62" s="5" t="s">
        <v>492</v>
      </c>
    </row>
    <row r="63" spans="1:6" x14ac:dyDescent="0.25">
      <c r="A63" s="5" t="s">
        <v>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D86D-0DA2-4042-8191-C8BD089D7794}">
  <dimension ref="A1:G13"/>
  <sheetViews>
    <sheetView workbookViewId="0"/>
  </sheetViews>
  <sheetFormatPr defaultRowHeight="15" x14ac:dyDescent="0.25"/>
  <cols>
    <col min="1" max="1" width="34.7109375" customWidth="1"/>
    <col min="2" max="7" width="13.7109375" customWidth="1"/>
  </cols>
  <sheetData>
    <row r="1" spans="1:7" ht="17.25" x14ac:dyDescent="0.3">
      <c r="A1" s="6" t="s">
        <v>494</v>
      </c>
    </row>
    <row r="3" spans="1:7" x14ac:dyDescent="0.25">
      <c r="A3" s="1" t="s">
        <v>129</v>
      </c>
      <c r="B3" s="1">
        <v>2026</v>
      </c>
      <c r="C3" s="1">
        <v>2027</v>
      </c>
      <c r="D3" s="1">
        <v>2028</v>
      </c>
      <c r="E3" s="1">
        <v>2029</v>
      </c>
      <c r="F3" s="1">
        <v>2030</v>
      </c>
      <c r="G3" s="1">
        <v>2031</v>
      </c>
    </row>
    <row r="4" spans="1:7" x14ac:dyDescent="0.25">
      <c r="A4" t="s">
        <v>495</v>
      </c>
      <c r="B4" s="15">
        <v>0</v>
      </c>
      <c r="C4" s="15">
        <v>0</v>
      </c>
      <c r="D4" s="15">
        <v>0</v>
      </c>
      <c r="E4" s="15">
        <f>Debt!D4</f>
        <v>792.3</v>
      </c>
      <c r="F4" s="15">
        <v>0</v>
      </c>
      <c r="G4" s="15">
        <v>0</v>
      </c>
    </row>
    <row r="5" spans="1:7" x14ac:dyDescent="0.25">
      <c r="A5" t="s">
        <v>496</v>
      </c>
      <c r="B5" s="15">
        <v>0</v>
      </c>
      <c r="C5" s="15">
        <v>0</v>
      </c>
      <c r="D5" s="15">
        <v>0</v>
      </c>
      <c r="E5" s="15">
        <f>Debt!D5+Debt!D6</f>
        <v>565</v>
      </c>
      <c r="F5" s="15">
        <v>0</v>
      </c>
      <c r="G5" s="15">
        <v>0</v>
      </c>
    </row>
    <row r="6" spans="1:7" x14ac:dyDescent="0.25">
      <c r="A6" t="s">
        <v>497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f>Debt!D7</f>
        <v>450</v>
      </c>
    </row>
    <row r="7" spans="1:7" x14ac:dyDescent="0.25">
      <c r="A7" t="s">
        <v>498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f>Debt!D8</f>
        <v>0</v>
      </c>
    </row>
    <row r="8" spans="1:7" x14ac:dyDescent="0.25">
      <c r="A8" t="s">
        <v>157</v>
      </c>
      <c r="B8" s="15">
        <f>Debt!D12</f>
        <v>39.1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</row>
    <row r="9" spans="1:7" x14ac:dyDescent="0.25">
      <c r="A9" t="s">
        <v>499</v>
      </c>
      <c r="B9" s="15">
        <f>Debt!D11</f>
        <v>6.5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</row>
    <row r="10" spans="1:7" x14ac:dyDescent="0.25">
      <c r="A10" s="1" t="s">
        <v>500</v>
      </c>
      <c r="B10" s="30">
        <f>SUM(B4:B9)</f>
        <v>45.6</v>
      </c>
      <c r="C10" s="30">
        <f>SUM(C4:C9)</f>
        <v>0</v>
      </c>
      <c r="D10" s="30">
        <f>SUM(D4:D9)</f>
        <v>0</v>
      </c>
      <c r="E10" s="30">
        <f>SUM(E4:E9)</f>
        <v>1357.3</v>
      </c>
      <c r="F10" s="30">
        <f>SUM(F4:F9)</f>
        <v>0</v>
      </c>
      <c r="G10" s="30">
        <f>SUM(G4:G9)</f>
        <v>450</v>
      </c>
    </row>
    <row r="12" spans="1:7" x14ac:dyDescent="0.25">
      <c r="A12" s="9" t="s">
        <v>501</v>
      </c>
    </row>
    <row r="13" spans="1:7" x14ac:dyDescent="0.25">
      <c r="A13" s="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Assumptions</vt:lpstr>
      <vt:lpstr>Debt</vt:lpstr>
      <vt:lpstr>Model</vt:lpstr>
      <vt:lpstr>Outputs</vt:lpstr>
      <vt:lpstr>YTM</vt:lpstr>
      <vt:lpstr>Attribution</vt:lpstr>
      <vt:lpstr>Refinancing</vt:lpstr>
      <vt:lpstr>Reconciliation</vt:lpstr>
      <vt:lpstr>Maturity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Downey</dc:creator>
  <cp:lastModifiedBy>Tom Downey</cp:lastModifiedBy>
  <dcterms:created xsi:type="dcterms:W3CDTF">2026-08-07T22:42:46Z</dcterms:created>
  <dcterms:modified xsi:type="dcterms:W3CDTF">2026-08-07T22:42:51Z</dcterms:modified>
</cp:coreProperties>
</file>